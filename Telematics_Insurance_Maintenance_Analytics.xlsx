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leet Telematics &amp; Risk" sheetId="1" r:id="rId1"/>
    <sheet name="Scoring &amp; Pricing Logic" sheetId="2" r:id="rId2"/>
    <sheet name="Executive Summary" sheetId="3" r:id="rId3"/>
  </sheets>
</workbook>
</file>

<file path=xl/sharedStrings.xml><?xml version="1.0" encoding="utf-8"?>
<sst xmlns="http://schemas.openxmlformats.org/spreadsheetml/2006/main" count="162" uniqueCount="162">
  <si>
    <t>Vehicle ID</t>
  </si>
  <si>
    <t>Driver Name</t>
  </si>
  <si>
    <t>Car Model</t>
  </si>
  <si>
    <t>Monthly KM</t>
  </si>
  <si>
    <t>Harsh Braking /100km</t>
  </si>
  <si>
    <t>Speeding Incidents</t>
  </si>
  <si>
    <t>Late Night % (11pm-4am)</t>
  </si>
  <si>
    <t>Rapid Accel Events</t>
  </si>
  <si>
    <t>Engine Temp (°C)</t>
  </si>
  <si>
    <t>Battery Voltage (V)</t>
  </si>
  <si>
    <t>Brake Wear %</t>
  </si>
  <si>
    <t>OBD Faults</t>
  </si>
  <si>
    <t>Driving Safety Score</t>
  </si>
  <si>
    <t>Risk Category</t>
  </si>
  <si>
    <t>Vehicle Health Score</t>
  </si>
  <si>
    <t>Maintenance Status</t>
  </si>
  <si>
    <t>Base Premium (₹)</t>
  </si>
  <si>
    <t>Distance Surcharge (₹)</t>
  </si>
  <si>
    <t>Risk Adjustment (₹)</t>
  </si>
  <si>
    <t>Maintenance Buffer (₹)</t>
  </si>
  <si>
    <t>Dynamic Final Premium (₹)</t>
  </si>
  <si>
    <t>Flat Benchmark Premium (₹)</t>
  </si>
  <si>
    <t>Annual Driver Savings (₹)</t>
  </si>
  <si>
    <t>CAR-101</t>
  </si>
  <si>
    <t>Aarav Sharma</t>
  </si>
  <si>
    <t>Hyundai Creta</t>
  </si>
  <si>
    <t>Low Risk</t>
  </si>
  <si>
    <t>Good Condition</t>
  </si>
  <si>
    <t>CAR-102</t>
  </si>
  <si>
    <t>Priya Nair</t>
  </si>
  <si>
    <t>Maruti Brezza</t>
  </si>
  <si>
    <t>High Risk</t>
  </si>
  <si>
    <t>Critical Maintenance</t>
  </si>
  <si>
    <t>CAR-103</t>
  </si>
  <si>
    <t>Rohan Mehta</t>
  </si>
  <si>
    <t>Tata Nexon</t>
  </si>
  <si>
    <t>CAR-104</t>
  </si>
  <si>
    <t>Sneha Kulkarni</t>
  </si>
  <si>
    <t>Mahindra XUV700</t>
  </si>
  <si>
    <t>CAR-105</t>
  </si>
  <si>
    <t>Vikram Singh</t>
  </si>
  <si>
    <t>Honda City</t>
  </si>
  <si>
    <t>Moderate Risk</t>
  </si>
  <si>
    <t>CAR-106</t>
  </si>
  <si>
    <t>Ananya Roy</t>
  </si>
  <si>
    <t>Kia Seltos</t>
  </si>
  <si>
    <t>CAR-107</t>
  </si>
  <si>
    <t>Karan Patel</t>
  </si>
  <si>
    <t>Tata Punch</t>
  </si>
  <si>
    <t>Inspection Due</t>
  </si>
  <si>
    <t>CAR-108</t>
  </si>
  <si>
    <t>Neha Gupta</t>
  </si>
  <si>
    <t>Maruti Baleno</t>
  </si>
  <si>
    <t>CAR-109</t>
  </si>
  <si>
    <t>Aditya Verma</t>
  </si>
  <si>
    <t>Toyota Hyryder</t>
  </si>
  <si>
    <t>CAR-110</t>
  </si>
  <si>
    <t>Divya Menon</t>
  </si>
  <si>
    <t>Hyundai Venue</t>
  </si>
  <si>
    <t>CAR-111</t>
  </si>
  <si>
    <t>Siddharth Das</t>
  </si>
  <si>
    <t>Mahindra Thar</t>
  </si>
  <si>
    <t>CAR-112</t>
  </si>
  <si>
    <t>Pooja Reddy</t>
  </si>
  <si>
    <t>Skoda Kushaq</t>
  </si>
  <si>
    <t>CAR-113</t>
  </si>
  <si>
    <t>Rahul Deshmukh</t>
  </si>
  <si>
    <t>Volkswagen Taigun</t>
  </si>
  <si>
    <t>CAR-114</t>
  </si>
  <si>
    <t>Tanvi Joshi</t>
  </si>
  <si>
    <t>Tata Harrier</t>
  </si>
  <si>
    <t>CAR-115</t>
  </si>
  <si>
    <t>Manish Chopra</t>
  </si>
  <si>
    <t>Honda Elevate</t>
  </si>
  <si>
    <t>CAR-116</t>
  </si>
  <si>
    <t>Ritu Saxena</t>
  </si>
  <si>
    <t>Maruti Swift</t>
  </si>
  <si>
    <t>CAR-117</t>
  </si>
  <si>
    <t>Varun Iyer</t>
  </si>
  <si>
    <t>Hyundai Verna</t>
  </si>
  <si>
    <t>CAR-118</t>
  </si>
  <si>
    <t>Kavita Rao</t>
  </si>
  <si>
    <t>Kia Sonet</t>
  </si>
  <si>
    <t>CAR-119</t>
  </si>
  <si>
    <t>Gaurav Bhatt</t>
  </si>
  <si>
    <t>MG Hector</t>
  </si>
  <si>
    <t>CAR-120</t>
  </si>
  <si>
    <t>Deepa Nambiar</t>
  </si>
  <si>
    <t>Toyota Innova</t>
  </si>
  <si>
    <t>CAR-121</t>
  </si>
  <si>
    <t>Arjun Sen</t>
  </si>
  <si>
    <t>Tata Altroz</t>
  </si>
  <si>
    <t>CAR-122</t>
  </si>
  <si>
    <t>Meera Kapoor</t>
  </si>
  <si>
    <t>Maruti Grand Vitara</t>
  </si>
  <si>
    <t>CAR-123</t>
  </si>
  <si>
    <t>Kunal Bansal</t>
  </si>
  <si>
    <t>Hyundai i20</t>
  </si>
  <si>
    <t>CAR-124</t>
  </si>
  <si>
    <t>Swati Tiwari</t>
  </si>
  <si>
    <t>Mahindra Scorpio-N</t>
  </si>
  <si>
    <t>CAR-125</t>
  </si>
  <si>
    <t>Nikhil Agarwal</t>
  </si>
  <si>
    <t>Skoda Slavia</t>
  </si>
  <si>
    <t>Category / Parameter</t>
  </si>
  <si>
    <t>Sensor / Telematics Input</t>
  </si>
  <si>
    <t>Weight / Deduction Formula</t>
  </si>
  <si>
    <t>Business &amp; Pricing Impact</t>
  </si>
  <si>
    <t>Driving Risk Scoring</t>
  </si>
  <si>
    <t>Harsh Braking Events</t>
  </si>
  <si>
    <t>-2.5 pts per incident / 100km</t>
  </si>
  <si>
    <t>Measures crash probability (Tailgating / Inattention)</t>
  </si>
  <si>
    <t>Speed Limit Violations</t>
  </si>
  <si>
    <t>-3.0 pts per incident / 100km</t>
  </si>
  <si>
    <t>Strongest predictor of claim severity</t>
  </si>
  <si>
    <t>Late Night Driving %</t>
  </si>
  <si>
    <t>-0.5 pts per 1% night travel</t>
  </si>
  <si>
    <t>11 PM - 4 AM driving carries 3x accident rate</t>
  </si>
  <si>
    <t>Rapid Acceleration</t>
  </si>
  <si>
    <t>-1.5 pts per event</t>
  </si>
  <si>
    <t>Indicates aggressive acceleration &amp; rash behavior</t>
  </si>
  <si>
    <t>Insurance Tier Tiering</t>
  </si>
  <si>
    <t>Score &gt;= 80 (Low Risk)</t>
  </si>
  <si>
    <t>-20% Discount on Base Premium</t>
  </si>
  <si>
    <t>Rewards safe driving (Pay-How-You-Drive)</t>
  </si>
  <si>
    <t>Score 60 - 79 (Moderate Risk)</t>
  </si>
  <si>
    <t>Standard Rate (0% adjustment)</t>
  </si>
  <si>
    <t>Average driver risk baseline</t>
  </si>
  <si>
    <t>Score &lt; 60 (High Risk)</t>
  </si>
  <si>
    <t>+25% Surcharge on Base Premium</t>
  </si>
  <si>
    <t>Compensates for high loss probability</t>
  </si>
  <si>
    <t>Vehicle Quality &amp; Health</t>
  </si>
  <si>
    <t>Battery Voltage (&lt;12.2V)</t>
  </si>
  <si>
    <t>-25 pts deduction</t>
  </si>
  <si>
    <t>Early warning for alternator/battery failure</t>
  </si>
  <si>
    <t>Engine Overheating (&gt;95°C)</t>
  </si>
  <si>
    <t>-15 to -30 pts deduction</t>
  </si>
  <si>
    <t>Prevents catastrophic engine failure/warranty claim</t>
  </si>
  <si>
    <t>Brake Wear (&gt;75%)</t>
  </si>
  <si>
    <t>-30 pts deduction + ₹1,500 buffer</t>
  </si>
  <si>
    <t>Immediate safety hazard trigger &amp; servicing alert</t>
  </si>
  <si>
    <t>Distance Pricing</t>
  </si>
  <si>
    <t>Monthly Distance KM</t>
  </si>
  <si>
    <t>₹2.00 per km (Pay As You Drive)</t>
  </si>
  <si>
    <t>Low mileage drivers save significantly on premiums</t>
  </si>
  <si>
    <t>Fleet Portfolio KPI</t>
  </si>
  <si>
    <t>Value / Metric</t>
  </si>
  <si>
    <t>Business Strategic Insight</t>
  </si>
  <si>
    <t>Total Fleet Vehicles Monitored</t>
  </si>
  <si>
    <t>Sample connected vehicle portfolio under active telematics</t>
  </si>
  <si>
    <t>Average Driving Safety Score</t>
  </si>
  <si>
    <t>Healthy portfolio baseline; 12 drivers eligible for 20% discount</t>
  </si>
  <si>
    <t>Low Risk Drivers Count (Score &gt;= 80)</t>
  </si>
  <si>
    <t>48% of drivers benefit from Pay-How-You-Drive incentives</t>
  </si>
  <si>
    <t>High Risk Drivers Count (Score &lt; 60)</t>
  </si>
  <si>
    <t>24% flagged for aggressive driving; risk surcharge applied</t>
  </si>
  <si>
    <t>Critical Maintenance Alerts Flagged</t>
  </si>
  <si>
    <t>Immediate inspection prevents roadside breakdowns and severe claims</t>
  </si>
  <si>
    <t>Total Dynamic Premium Collected (₹)</t>
  </si>
  <si>
    <t>Fair dynamic risk-based revenue stream</t>
  </si>
  <si>
    <t>Total Safe Driver Savings Delivered (₹)</t>
  </si>
  <si>
    <t>Total customer retention value created through telematics discounts</t>
  </si>
</sst>
</file>

<file path=xl/styles.xml><?xml version="1.0" encoding="utf-8"?>
<styleSheet xmlns="http://schemas.openxmlformats.org/spreadsheetml/2006/main">
  <fonts count="4">
    <font>
      <name val="Calibri"/>
      <sz val="11"/>
    </font>
    <font>
      <b/>
      <name val="Calibri"/>
      <sz val="11"/>
      <color rgb="FFFFFFFF"/>
    </font>
    <font>
      <b/>
      <name val="Calibri"/>
      <sz val="12"/>
      <color rgb="FF1E293B"/>
    </font>
    <font>
      <b/>
      <name val="Calibri"/>
      <sz val="14"/>
      <color rgb="FF0F172A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6">
    <xf numFmtId="0" fontId="0" fillId="0" borderId="1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3" fillId="0" borderId="0" xfId="0" applyFont="1"/>
    <xf numFmtId="0" fontId="0" fillId="0" borderId="1" xfId="0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  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20"/>
  <cols>
    <col min="1" max="1" width="14" customWidth="1"/>
    <col min="2" max="2" width="18" customWidth="1"/>
    <col min="3" max="3" width="22" customWidth="1"/>
    <col min="4" max="4" width="14" customWidth="1"/>
    <col min="5" max="8" width="16" customWidth="1"/>
    <col min="9" max="12" width="16" customWidth="1"/>
    <col min="13" max="13" width="18" customWidth="1"/>
    <col min="14" max="14" width="18" customWidth="1"/>
    <col min="15" max="15" width="18" customWidth="1"/>
    <col min="16" max="16" width="22" customWidth="1"/>
    <col min="17" max="23" width="20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5">
        <v>23</v>
      </c>
      <c r="B2" t="s" s="0">
        <v>24</v>
      </c>
      <c r="C2" t="s" s="0">
        <v>25</v>
      </c>
      <c r="D2" s="0">
        <v>650</v>
      </c>
      <c r="E2" s="5">
        <v>2</v>
      </c>
      <c r="F2" s="5">
        <v>1</v>
      </c>
      <c r="G2" s="5">
        <v>5</v>
      </c>
      <c r="H2" s="5">
        <v>1</v>
      </c>
      <c r="I2" s="5">
        <v>88</v>
      </c>
      <c r="J2" s="5">
        <v>12.6</v>
      </c>
      <c r="K2" s="5">
        <v>25</v>
      </c>
      <c r="L2" s="5">
        <v>0</v>
      </c>
      <c r="M2" s="5">
        <f>MAX(10, MIN(100, ROUND(100 - (E2*2.5) - (F2*3) - (G2*0.5) - (H2*1.5), 1)))</f>
        <v>88.0</v>
      </c>
      <c r="N2" t="s" s="5">
        <v>26</v>
      </c>
      <c r="O2" s="5">
        <v>100</v>
      </c>
      <c r="P2" t="s" s="5">
        <v>27</v>
      </c>
      <c r="Q2" s="0">
        <v>15000</v>
      </c>
      <c r="R2" s="0">
        <f>ROUND((D2/1000)*2000, 0)</f>
        <v>1300.0</v>
      </c>
      <c r="S2" s="0">
        <f>IF(M2&gt;=80, -3000, IF(M2&gt;=60, 0, 3750))</f>
        <v>-3000.0</v>
      </c>
      <c r="T2" s="0">
        <f>IF(O2&gt;=80, 0, IF(O2&gt;=60, 500, 1500))</f>
        <v>0</v>
      </c>
      <c r="U2" s="0">
        <f>Q2+R2+S2+T2</f>
        <v>13300.0</v>
      </c>
      <c r="V2" s="0">
        <v>22000</v>
      </c>
      <c r="W2" s="0">
        <f>V2-U2</f>
        <v>8700.0</v>
      </c>
    </row>
    <row r="3">
      <c r="A3" t="s" s="5">
        <v>28</v>
      </c>
      <c r="B3" t="s" s="0">
        <v>29</v>
      </c>
      <c r="C3" t="s" s="0">
        <v>30</v>
      </c>
      <c r="D3" s="0">
        <v>1200</v>
      </c>
      <c r="E3" s="5">
        <v>8</v>
      </c>
      <c r="F3" s="5">
        <v>6</v>
      </c>
      <c r="G3" s="5">
        <v>28</v>
      </c>
      <c r="H3" s="5">
        <v>5</v>
      </c>
      <c r="I3" s="5">
        <v>94</v>
      </c>
      <c r="J3" s="5">
        <v>12.1</v>
      </c>
      <c r="K3" s="5">
        <v>68</v>
      </c>
      <c r="L3" s="5">
        <v>1</v>
      </c>
      <c r="M3" s="5">
        <f>MAX(10, MIN(100, ROUND(100 - (E3*2.5) - (F3*3) - (G3*0.5) - (H3*1.5), 1)))</f>
        <v>40.5</v>
      </c>
      <c r="N3" t="s" s="5">
        <v>31</v>
      </c>
      <c r="O3" s="5">
        <v>45</v>
      </c>
      <c r="P3" t="s" s="5">
        <v>32</v>
      </c>
      <c r="Q3" s="0">
        <v>15000</v>
      </c>
      <c r="R3" s="0">
        <f>ROUND((D3/1000)*2000, 0)</f>
        <v>2400.0</v>
      </c>
      <c r="S3" s="0">
        <f>IF(M3&gt;=80, -3000, IF(M3&gt;=60, 0, 3750))</f>
        <v>3750.0</v>
      </c>
      <c r="T3" s="0">
        <f>IF(O3&gt;=80, 0, IF(O3&gt;=60, 500, 1500))</f>
        <v>1500</v>
      </c>
      <c r="U3" s="0">
        <f>Q3+R3+S3+T3</f>
        <v>22650.0</v>
      </c>
      <c r="V3" s="0">
        <v>22000</v>
      </c>
      <c r="W3" s="0">
        <f>V3-U3</f>
        <v>-650.0</v>
      </c>
    </row>
    <row r="4">
      <c r="A4" t="s" s="5">
        <v>33</v>
      </c>
      <c r="B4" t="s" s="0">
        <v>34</v>
      </c>
      <c r="C4" t="s" s="0">
        <v>35</v>
      </c>
      <c r="D4" s="0">
        <v>480</v>
      </c>
      <c r="E4" s="5">
        <v>1</v>
      </c>
      <c r="F4" s="5">
        <v>0</v>
      </c>
      <c r="G4" s="5">
        <v>2</v>
      </c>
      <c r="H4" s="5">
        <v>0</v>
      </c>
      <c r="I4" s="5">
        <v>86</v>
      </c>
      <c r="J4" s="5">
        <v>12.7</v>
      </c>
      <c r="K4" s="5">
        <v>18</v>
      </c>
      <c r="L4" s="5">
        <v>0</v>
      </c>
      <c r="M4" s="5">
        <f>MAX(10, MIN(100, ROUND(100 - (E4*2.5) - (F4*3) - (G4*0.5) - (H4*1.5), 1)))</f>
        <v>96.5</v>
      </c>
      <c r="N4" t="s" s="5">
        <v>26</v>
      </c>
      <c r="O4" s="5">
        <v>100</v>
      </c>
      <c r="P4" t="s" s="5">
        <v>27</v>
      </c>
      <c r="Q4" s="0">
        <v>15000</v>
      </c>
      <c r="R4" s="0">
        <f>ROUND((D4/1000)*2000, 0)</f>
        <v>960.0</v>
      </c>
      <c r="S4" s="0">
        <f>IF(M4&gt;=80, -3000, IF(M4&gt;=60, 0, 3750))</f>
        <v>-3000.0</v>
      </c>
      <c r="T4" s="0">
        <f>IF(O4&gt;=80, 0, IF(O4&gt;=60, 500, 1500))</f>
        <v>0</v>
      </c>
      <c r="U4" s="0">
        <f>Q4+R4+S4+T4</f>
        <v>12960.0</v>
      </c>
      <c r="V4" s="0">
        <v>22000</v>
      </c>
      <c r="W4" s="0">
        <f>V4-U4</f>
        <v>9040.0</v>
      </c>
    </row>
    <row r="5">
      <c r="A5" t="s" s="5">
        <v>36</v>
      </c>
      <c r="B5" t="s" s="0">
        <v>37</v>
      </c>
      <c r="C5" t="s" s="0">
        <v>38</v>
      </c>
      <c r="D5" s="0">
        <v>1850</v>
      </c>
      <c r="E5" s="5">
        <v>12</v>
      </c>
      <c r="F5" s="5">
        <v>9</v>
      </c>
      <c r="G5" s="5">
        <v>35</v>
      </c>
      <c r="H5" s="5">
        <v>8</v>
      </c>
      <c r="I5" s="5">
        <v>104</v>
      </c>
      <c r="J5" s="5">
        <v>11.9</v>
      </c>
      <c r="K5" s="5">
        <v>82</v>
      </c>
      <c r="L5" s="5">
        <v>2</v>
      </c>
      <c r="M5" s="5">
        <f>MAX(10, MIN(100, ROUND(100 - (E5*2.5) - (F5*3) - (G5*0.5) - (H5*1.5), 1)))</f>
        <v>13.5</v>
      </c>
      <c r="N5" t="s" s="5">
        <v>31</v>
      </c>
      <c r="O5" s="5">
        <v>15</v>
      </c>
      <c r="P5" t="s" s="5">
        <v>32</v>
      </c>
      <c r="Q5" s="0">
        <v>15000</v>
      </c>
      <c r="R5" s="0">
        <f>ROUND((D5/1000)*2000, 0)</f>
        <v>3700.0</v>
      </c>
      <c r="S5" s="0">
        <f>IF(M5&gt;=80, -3000, IF(M5&gt;=60, 0, 3750))</f>
        <v>3750.0</v>
      </c>
      <c r="T5" s="0">
        <f>IF(O5&gt;=80, 0, IF(O5&gt;=60, 500, 1500))</f>
        <v>1500</v>
      </c>
      <c r="U5" s="0">
        <f>Q5+R5+S5+T5</f>
        <v>23950.0</v>
      </c>
      <c r="V5" s="0">
        <v>22000</v>
      </c>
      <c r="W5" s="0">
        <f>V5-U5</f>
        <v>-1950.0</v>
      </c>
    </row>
    <row r="6">
      <c r="A6" t="s" s="5">
        <v>39</v>
      </c>
      <c r="B6" t="s" s="0">
        <v>40</v>
      </c>
      <c r="C6" t="s" s="0">
        <v>41</v>
      </c>
      <c r="D6" s="0">
        <v>820</v>
      </c>
      <c r="E6" s="5">
        <v>4</v>
      </c>
      <c r="F6" s="5">
        <v>2</v>
      </c>
      <c r="G6" s="5">
        <v>12</v>
      </c>
      <c r="H6" s="5">
        <v>2</v>
      </c>
      <c r="I6" s="5">
        <v>89</v>
      </c>
      <c r="J6" s="5">
        <v>12.5</v>
      </c>
      <c r="K6" s="5">
        <v>40</v>
      </c>
      <c r="L6" s="5">
        <v>0</v>
      </c>
      <c r="M6" s="5">
        <f>MAX(10, MIN(100, ROUND(100 - (E6*2.5) - (F6*3) - (G6*0.5) - (H6*1.5), 1)))</f>
        <v>75.0</v>
      </c>
      <c r="N6" t="s" s="5">
        <v>42</v>
      </c>
      <c r="O6" s="5">
        <v>100</v>
      </c>
      <c r="P6" t="s" s="5">
        <v>27</v>
      </c>
      <c r="Q6" s="0">
        <v>15000</v>
      </c>
      <c r="R6" s="0">
        <f>ROUND((D6/1000)*2000, 0)</f>
        <v>1640.0</v>
      </c>
      <c r="S6" s="0">
        <f>IF(M6&gt;=80, -3000, IF(M6&gt;=60, 0, 3750))</f>
        <v>0.0</v>
      </c>
      <c r="T6" s="0">
        <f>IF(O6&gt;=80, 0, IF(O6&gt;=60, 500, 1500))</f>
        <v>0</v>
      </c>
      <c r="U6" s="0">
        <f>Q6+R6+S6+T6</f>
        <v>16640.0</v>
      </c>
      <c r="V6" s="0">
        <v>22000</v>
      </c>
      <c r="W6" s="0">
        <f>V6-U6</f>
        <v>5360.0</v>
      </c>
    </row>
    <row r="7">
      <c r="A7" t="s" s="5">
        <v>43</v>
      </c>
      <c r="B7" t="s" s="0">
        <v>44</v>
      </c>
      <c r="C7" t="s" s="0">
        <v>45</v>
      </c>
      <c r="D7" s="0">
        <v>950</v>
      </c>
      <c r="E7" s="5">
        <v>3</v>
      </c>
      <c r="F7" s="5">
        <v>2</v>
      </c>
      <c r="G7" s="5">
        <v>10</v>
      </c>
      <c r="H7" s="5">
        <v>2</v>
      </c>
      <c r="I7" s="5">
        <v>90</v>
      </c>
      <c r="J7" s="5">
        <v>12.6</v>
      </c>
      <c r="K7" s="5">
        <v>35</v>
      </c>
      <c r="L7" s="5">
        <v>0</v>
      </c>
      <c r="M7" s="5">
        <f>MAX(10, MIN(100, ROUND(100 - (E7*2.5) - (F7*3) - (G7*0.5) - (H7*1.5), 1)))</f>
        <v>78.5</v>
      </c>
      <c r="N7" t="s" s="5">
        <v>42</v>
      </c>
      <c r="O7" s="5">
        <v>100</v>
      </c>
      <c r="P7" t="s" s="5">
        <v>27</v>
      </c>
      <c r="Q7" s="0">
        <v>15000</v>
      </c>
      <c r="R7" s="0">
        <f>ROUND((D7/1000)*2000, 0)</f>
        <v>1900.0</v>
      </c>
      <c r="S7" s="0">
        <f>IF(M7&gt;=80, -3000, IF(M7&gt;=60, 0, 3750))</f>
        <v>0.0</v>
      </c>
      <c r="T7" s="0">
        <f>IF(O7&gt;=80, 0, IF(O7&gt;=60, 500, 1500))</f>
        <v>0</v>
      </c>
      <c r="U7" s="0">
        <f>Q7+R7+S7+T7</f>
        <v>16900.0</v>
      </c>
      <c r="V7" s="0">
        <v>22000</v>
      </c>
      <c r="W7" s="0">
        <f>V7-U7</f>
        <v>5100.0</v>
      </c>
    </row>
    <row r="8">
      <c r="A8" t="s" s="5">
        <v>46</v>
      </c>
      <c r="B8" t="s" s="0">
        <v>47</v>
      </c>
      <c r="C8" t="s" s="0">
        <v>48</v>
      </c>
      <c r="D8" s="0">
        <v>1400</v>
      </c>
      <c r="E8" s="5">
        <v>9</v>
      </c>
      <c r="F8" s="5">
        <v>7</v>
      </c>
      <c r="G8" s="5">
        <v>22</v>
      </c>
      <c r="H8" s="5">
        <v>6</v>
      </c>
      <c r="I8" s="5">
        <v>96</v>
      </c>
      <c r="J8" s="5">
        <v>12.3</v>
      </c>
      <c r="K8" s="5">
        <v>60</v>
      </c>
      <c r="L8" s="5">
        <v>0</v>
      </c>
      <c r="M8" s="5">
        <f>MAX(10, MIN(100, ROUND(100 - (E8*2.5) - (F8*3) - (G8*0.5) - (H8*1.5), 1)))</f>
        <v>36.5</v>
      </c>
      <c r="N8" t="s" s="5">
        <v>31</v>
      </c>
      <c r="O8" s="5">
        <v>60</v>
      </c>
      <c r="P8" t="s" s="5">
        <v>49</v>
      </c>
      <c r="Q8" s="0">
        <v>15000</v>
      </c>
      <c r="R8" s="0">
        <f>ROUND((D8/1000)*2000, 0)</f>
        <v>2800.0</v>
      </c>
      <c r="S8" s="0">
        <f>IF(M8&gt;=80, -3000, IF(M8&gt;=60, 0, 3750))</f>
        <v>3750.0</v>
      </c>
      <c r="T8" s="0">
        <f>IF(O8&gt;=80, 0, IF(O8&gt;=60, 500, 1500))</f>
        <v>500</v>
      </c>
      <c r="U8" s="0">
        <f>Q8+R8+S8+T8</f>
        <v>22050.0</v>
      </c>
      <c r="V8" s="0">
        <v>22000</v>
      </c>
      <c r="W8" s="0">
        <f>V8-U8</f>
        <v>-50.0</v>
      </c>
    </row>
    <row r="9">
      <c r="A9" t="s" s="5">
        <v>50</v>
      </c>
      <c r="B9" t="s" s="0">
        <v>51</v>
      </c>
      <c r="C9" t="s" s="0">
        <v>52</v>
      </c>
      <c r="D9" s="0">
        <v>520</v>
      </c>
      <c r="E9" s="5">
        <v>1</v>
      </c>
      <c r="F9" s="5">
        <v>1</v>
      </c>
      <c r="G9" s="5">
        <v>4</v>
      </c>
      <c r="H9" s="5">
        <v>1</v>
      </c>
      <c r="I9" s="5">
        <v>87</v>
      </c>
      <c r="J9" s="5">
        <v>12.8</v>
      </c>
      <c r="K9" s="5">
        <v>20</v>
      </c>
      <c r="L9" s="5">
        <v>0</v>
      </c>
      <c r="M9" s="5">
        <f>MAX(10, MIN(100, ROUND(100 - (E9*2.5) - (F9*3) - (G9*0.5) - (H9*1.5), 1)))</f>
        <v>91.0</v>
      </c>
      <c r="N9" t="s" s="5">
        <v>26</v>
      </c>
      <c r="O9" s="5">
        <v>100</v>
      </c>
      <c r="P9" t="s" s="5">
        <v>27</v>
      </c>
      <c r="Q9" s="0">
        <v>15000</v>
      </c>
      <c r="R9" s="0">
        <f>ROUND((D9/1000)*2000, 0)</f>
        <v>1040.0</v>
      </c>
      <c r="S9" s="0">
        <f>IF(M9&gt;=80, -3000, IF(M9&gt;=60, 0, 3750))</f>
        <v>-3000.0</v>
      </c>
      <c r="T9" s="0">
        <f>IF(O9&gt;=80, 0, IF(O9&gt;=60, 500, 1500))</f>
        <v>0</v>
      </c>
      <c r="U9" s="0">
        <f>Q9+R9+S9+T9</f>
        <v>13040.0</v>
      </c>
      <c r="V9" s="0">
        <v>22000</v>
      </c>
      <c r="W9" s="0">
        <f>V9-U9</f>
        <v>8960.0</v>
      </c>
    </row>
    <row r="10">
      <c r="A10" t="s" s="5">
        <v>53</v>
      </c>
      <c r="B10" t="s" s="0">
        <v>54</v>
      </c>
      <c r="C10" t="s" s="0">
        <v>55</v>
      </c>
      <c r="D10" s="0">
        <v>1100</v>
      </c>
      <c r="E10" s="5">
        <v>5</v>
      </c>
      <c r="F10" s="5">
        <v>4</v>
      </c>
      <c r="G10" s="5">
        <v>15</v>
      </c>
      <c r="H10" s="5">
        <v>3</v>
      </c>
      <c r="I10" s="5">
        <v>91</v>
      </c>
      <c r="J10" s="5">
        <v>12.4</v>
      </c>
      <c r="K10" s="5">
        <v>45</v>
      </c>
      <c r="L10" s="5">
        <v>0</v>
      </c>
      <c r="M10" s="5">
        <f>MAX(10, MIN(100, ROUND(100 - (E10*2.5) - (F10*3) - (G10*0.5) - (H10*1.5), 1)))</f>
        <v>63.5</v>
      </c>
      <c r="N10" t="s" s="5">
        <v>42</v>
      </c>
      <c r="O10" s="5">
        <v>100</v>
      </c>
      <c r="P10" t="s" s="5">
        <v>27</v>
      </c>
      <c r="Q10" s="0">
        <v>15000</v>
      </c>
      <c r="R10" s="0">
        <f>ROUND((D10/1000)*2000, 0)</f>
        <v>2200.0</v>
      </c>
      <c r="S10" s="0">
        <f>IF(M10&gt;=80, -3000, IF(M10&gt;=60, 0, 3750))</f>
        <v>0.0</v>
      </c>
      <c r="T10" s="0">
        <f>IF(O10&gt;=80, 0, IF(O10&gt;=60, 500, 1500))</f>
        <v>0</v>
      </c>
      <c r="U10" s="0">
        <f>Q10+R10+S10+T10</f>
        <v>17200.0</v>
      </c>
      <c r="V10" s="0">
        <v>22000</v>
      </c>
      <c r="W10" s="0">
        <f>V10-U10</f>
        <v>4800.0</v>
      </c>
    </row>
    <row r="11">
      <c r="A11" t="s" s="5">
        <v>56</v>
      </c>
      <c r="B11" t="s" s="0">
        <v>57</v>
      </c>
      <c r="C11" t="s" s="0">
        <v>58</v>
      </c>
      <c r="D11" s="0">
        <v>780</v>
      </c>
      <c r="E11" s="5">
        <v>3</v>
      </c>
      <c r="F11" s="5">
        <v>1</v>
      </c>
      <c r="G11" s="5">
        <v>8</v>
      </c>
      <c r="H11" s="5">
        <v>1</v>
      </c>
      <c r="I11" s="5">
        <v>88</v>
      </c>
      <c r="J11" s="5">
        <v>12.5</v>
      </c>
      <c r="K11" s="5">
        <v>30</v>
      </c>
      <c r="L11" s="5">
        <v>0</v>
      </c>
      <c r="M11" s="5">
        <f>MAX(10, MIN(100, ROUND(100 - (E11*2.5) - (F11*3) - (G11*0.5) - (H11*1.5), 1)))</f>
        <v>84.0</v>
      </c>
      <c r="N11" t="s" s="5">
        <v>26</v>
      </c>
      <c r="O11" s="5">
        <v>100</v>
      </c>
      <c r="P11" t="s" s="5">
        <v>27</v>
      </c>
      <c r="Q11" s="0">
        <v>15000</v>
      </c>
      <c r="R11" s="0">
        <f>ROUND((D11/1000)*2000, 0)</f>
        <v>1560.0</v>
      </c>
      <c r="S11" s="0">
        <f>IF(M11&gt;=80, -3000, IF(M11&gt;=60, 0, 3750))</f>
        <v>-3000.0</v>
      </c>
      <c r="T11" s="0">
        <f>IF(O11&gt;=80, 0, IF(O11&gt;=60, 500, 1500))</f>
        <v>0</v>
      </c>
      <c r="U11" s="0">
        <f>Q11+R11+S11+T11</f>
        <v>13560.0</v>
      </c>
      <c r="V11" s="0">
        <v>22000</v>
      </c>
      <c r="W11" s="0">
        <f>V11-U11</f>
        <v>8440.0</v>
      </c>
    </row>
    <row r="12">
      <c r="A12" t="s" s="5">
        <v>59</v>
      </c>
      <c r="B12" t="s" s="0">
        <v>60</v>
      </c>
      <c r="C12" t="s" s="0">
        <v>61</v>
      </c>
      <c r="D12" s="0">
        <v>2100</v>
      </c>
      <c r="E12" s="5">
        <v>14</v>
      </c>
      <c r="F12" s="5">
        <v>11</v>
      </c>
      <c r="G12" s="5">
        <v>40</v>
      </c>
      <c r="H12" s="5">
        <v>9</v>
      </c>
      <c r="I12" s="5">
        <v>102</v>
      </c>
      <c r="J12" s="5">
        <v>12.0</v>
      </c>
      <c r="K12" s="5">
        <v>88</v>
      </c>
      <c r="L12" s="5">
        <v>2</v>
      </c>
      <c r="M12" s="5">
        <f>MAX(10, MIN(100, ROUND(100 - (E12*2.5) - (F12*3) - (G12*0.5) - (H12*1.5), 1)))</f>
        <v>10</v>
      </c>
      <c r="N12" t="s" s="5">
        <v>31</v>
      </c>
      <c r="O12" s="5">
        <v>15</v>
      </c>
      <c r="P12" t="s" s="5">
        <v>32</v>
      </c>
      <c r="Q12" s="0">
        <v>15000</v>
      </c>
      <c r="R12" s="0">
        <f>ROUND((D12/1000)*2000, 0)</f>
        <v>4200.0</v>
      </c>
      <c r="S12" s="0">
        <f>IF(M12&gt;=80, -3000, IF(M12&gt;=60, 0, 3750))</f>
        <v>3750.0</v>
      </c>
      <c r="T12" s="0">
        <f>IF(O12&gt;=80, 0, IF(O12&gt;=60, 500, 1500))</f>
        <v>1500</v>
      </c>
      <c r="U12" s="0">
        <f>Q12+R12+S12+T12</f>
        <v>24450.0</v>
      </c>
      <c r="V12" s="0">
        <v>22000</v>
      </c>
      <c r="W12" s="0">
        <f>V12-U12</f>
        <v>-2450.0</v>
      </c>
    </row>
    <row r="13">
      <c r="A13" t="s" s="5">
        <v>62</v>
      </c>
      <c r="B13" t="s" s="0">
        <v>63</v>
      </c>
      <c r="C13" t="s" s="0">
        <v>64</v>
      </c>
      <c r="D13" s="0">
        <v>600</v>
      </c>
      <c r="E13" s="5">
        <v>2</v>
      </c>
      <c r="F13" s="5">
        <v>0</v>
      </c>
      <c r="G13" s="5">
        <v>5</v>
      </c>
      <c r="H13" s="5">
        <v>1</v>
      </c>
      <c r="I13" s="5">
        <v>89</v>
      </c>
      <c r="J13" s="5">
        <v>12.6</v>
      </c>
      <c r="K13" s="5">
        <v>22</v>
      </c>
      <c r="L13" s="5">
        <v>0</v>
      </c>
      <c r="M13" s="5">
        <f>MAX(10, MIN(100, ROUND(100 - (E13*2.5) - (F13*3) - (G13*0.5) - (H13*1.5), 1)))</f>
        <v>91.0</v>
      </c>
      <c r="N13" t="s" s="5">
        <v>26</v>
      </c>
      <c r="O13" s="5">
        <v>100</v>
      </c>
      <c r="P13" t="s" s="5">
        <v>27</v>
      </c>
      <c r="Q13" s="0">
        <v>15000</v>
      </c>
      <c r="R13" s="0">
        <f>ROUND((D13/1000)*2000, 0)</f>
        <v>1200.0</v>
      </c>
      <c r="S13" s="0">
        <f>IF(M13&gt;=80, -3000, IF(M13&gt;=60, 0, 3750))</f>
        <v>-3000.0</v>
      </c>
      <c r="T13" s="0">
        <f>IF(O13&gt;=80, 0, IF(O13&gt;=60, 500, 1500))</f>
        <v>0</v>
      </c>
      <c r="U13" s="0">
        <f>Q13+R13+S13+T13</f>
        <v>13200.0</v>
      </c>
      <c r="V13" s="0">
        <v>22000</v>
      </c>
      <c r="W13" s="0">
        <f>V13-U13</f>
        <v>8800.0</v>
      </c>
    </row>
    <row r="14">
      <c r="A14" t="s" s="5">
        <v>65</v>
      </c>
      <c r="B14" t="s" s="0">
        <v>66</v>
      </c>
      <c r="C14" t="s" s="0">
        <v>67</v>
      </c>
      <c r="D14" s="0">
        <v>1300</v>
      </c>
      <c r="E14" s="5">
        <v>7</v>
      </c>
      <c r="F14" s="5">
        <v>5</v>
      </c>
      <c r="G14" s="5">
        <v>18</v>
      </c>
      <c r="H14" s="5">
        <v>4</v>
      </c>
      <c r="I14" s="5">
        <v>93</v>
      </c>
      <c r="J14" s="5">
        <v>12.3</v>
      </c>
      <c r="K14" s="5">
        <v>55</v>
      </c>
      <c r="L14" s="5">
        <v>0</v>
      </c>
      <c r="M14" s="5">
        <f>MAX(10, MIN(100, ROUND(100 - (E14*2.5) - (F14*3) - (G14*0.5) - (H14*1.5), 1)))</f>
        <v>52.5</v>
      </c>
      <c r="N14" t="s" s="5">
        <v>31</v>
      </c>
      <c r="O14" s="5">
        <v>75</v>
      </c>
      <c r="P14" t="s" s="5">
        <v>49</v>
      </c>
      <c r="Q14" s="0">
        <v>15000</v>
      </c>
      <c r="R14" s="0">
        <f>ROUND((D14/1000)*2000, 0)</f>
        <v>2600.0</v>
      </c>
      <c r="S14" s="0">
        <f>IF(M14&gt;=80, -3000, IF(M14&gt;=60, 0, 3750))</f>
        <v>3750.0</v>
      </c>
      <c r="T14" s="0">
        <f>IF(O14&gt;=80, 0, IF(O14&gt;=60, 500, 1500))</f>
        <v>500</v>
      </c>
      <c r="U14" s="0">
        <f>Q14+R14+S14+T14</f>
        <v>21850.0</v>
      </c>
      <c r="V14" s="0">
        <v>22000</v>
      </c>
      <c r="W14" s="0">
        <f>V14-U14</f>
        <v>150.0</v>
      </c>
    </row>
    <row r="15">
      <c r="A15" t="s" s="5">
        <v>68</v>
      </c>
      <c r="B15" t="s" s="0">
        <v>69</v>
      </c>
      <c r="C15" t="s" s="0">
        <v>70</v>
      </c>
      <c r="D15" s="0">
        <v>1650</v>
      </c>
      <c r="E15" s="5">
        <v>10</v>
      </c>
      <c r="F15" s="5">
        <v>8</v>
      </c>
      <c r="G15" s="5">
        <v>30</v>
      </c>
      <c r="H15" s="5">
        <v>7</v>
      </c>
      <c r="I15" s="5">
        <v>98</v>
      </c>
      <c r="J15" s="5">
        <v>12.1</v>
      </c>
      <c r="K15" s="5">
        <v>75</v>
      </c>
      <c r="L15" s="5">
        <v>1</v>
      </c>
      <c r="M15" s="5">
        <f>MAX(10, MIN(100, ROUND(100 - (E15*2.5) - (F15*3) - (G15*0.5) - (H15*1.5), 1)))</f>
        <v>25.5</v>
      </c>
      <c r="N15" t="s" s="5">
        <v>31</v>
      </c>
      <c r="O15" s="5">
        <v>15</v>
      </c>
      <c r="P15" t="s" s="5">
        <v>32</v>
      </c>
      <c r="Q15" s="0">
        <v>15000</v>
      </c>
      <c r="R15" s="0">
        <f>ROUND((D15/1000)*2000, 0)</f>
        <v>3300.0</v>
      </c>
      <c r="S15" s="0">
        <f>IF(M15&gt;=80, -3000, IF(M15&gt;=60, 0, 3750))</f>
        <v>3750.0</v>
      </c>
      <c r="T15" s="0">
        <f>IF(O15&gt;=80, 0, IF(O15&gt;=60, 500, 1500))</f>
        <v>1500</v>
      </c>
      <c r="U15" s="0">
        <f>Q15+R15+S15+T15</f>
        <v>23550.0</v>
      </c>
      <c r="V15" s="0">
        <v>22000</v>
      </c>
      <c r="W15" s="0">
        <f>V15-U15</f>
        <v>-1550.0</v>
      </c>
    </row>
    <row r="16">
      <c r="A16" t="s" s="5">
        <v>71</v>
      </c>
      <c r="B16" t="s" s="0">
        <v>72</v>
      </c>
      <c r="C16" t="s" s="0">
        <v>73</v>
      </c>
      <c r="D16" s="0">
        <v>720</v>
      </c>
      <c r="E16" s="5">
        <v>2</v>
      </c>
      <c r="F16" s="5">
        <v>1</v>
      </c>
      <c r="G16" s="5">
        <v>6</v>
      </c>
      <c r="H16" s="5">
        <v>1</v>
      </c>
      <c r="I16" s="5">
        <v>88</v>
      </c>
      <c r="J16" s="5">
        <v>12.7</v>
      </c>
      <c r="K16" s="5">
        <v>28</v>
      </c>
      <c r="L16" s="5">
        <v>0</v>
      </c>
      <c r="M16" s="5">
        <f>MAX(10, MIN(100, ROUND(100 - (E16*2.5) - (F16*3) - (G16*0.5) - (H16*1.5), 1)))</f>
        <v>87.5</v>
      </c>
      <c r="N16" t="s" s="5">
        <v>26</v>
      </c>
      <c r="O16" s="5">
        <v>100</v>
      </c>
      <c r="P16" t="s" s="5">
        <v>27</v>
      </c>
      <c r="Q16" s="0">
        <v>15000</v>
      </c>
      <c r="R16" s="0">
        <f>ROUND((D16/1000)*2000, 0)</f>
        <v>1440.0</v>
      </c>
      <c r="S16" s="0">
        <f>IF(M16&gt;=80, -3000, IF(M16&gt;=60, 0, 3750))</f>
        <v>-3000.0</v>
      </c>
      <c r="T16" s="0">
        <f>IF(O16&gt;=80, 0, IF(O16&gt;=60, 500, 1500))</f>
        <v>0</v>
      </c>
      <c r="U16" s="0">
        <f>Q16+R16+S16+T16</f>
        <v>13440.0</v>
      </c>
      <c r="V16" s="0">
        <v>22000</v>
      </c>
      <c r="W16" s="0">
        <f>V16-U16</f>
        <v>8560.0</v>
      </c>
    </row>
    <row r="17">
      <c r="A17" t="s" s="5">
        <v>74</v>
      </c>
      <c r="B17" t="s" s="0">
        <v>75</v>
      </c>
      <c r="C17" t="s" s="0">
        <v>76</v>
      </c>
      <c r="D17" s="0">
        <v>900</v>
      </c>
      <c r="E17" s="5">
        <v>4</v>
      </c>
      <c r="F17" s="5">
        <v>3</v>
      </c>
      <c r="G17" s="5">
        <v>14</v>
      </c>
      <c r="H17" s="5">
        <v>2</v>
      </c>
      <c r="I17" s="5">
        <v>90</v>
      </c>
      <c r="J17" s="5">
        <v>12.4</v>
      </c>
      <c r="K17" s="5">
        <v>38</v>
      </c>
      <c r="L17" s="5">
        <v>0</v>
      </c>
      <c r="M17" s="5">
        <f>MAX(10, MIN(100, ROUND(100 - (E17*2.5) - (F17*3) - (G17*0.5) - (H17*1.5), 1)))</f>
        <v>71.0</v>
      </c>
      <c r="N17" t="s" s="5">
        <v>42</v>
      </c>
      <c r="O17" s="5">
        <v>100</v>
      </c>
      <c r="P17" t="s" s="5">
        <v>27</v>
      </c>
      <c r="Q17" s="0">
        <v>15000</v>
      </c>
      <c r="R17" s="0">
        <f>ROUND((D17/1000)*2000, 0)</f>
        <v>1800.0</v>
      </c>
      <c r="S17" s="0">
        <f>IF(M17&gt;=80, -3000, IF(M17&gt;=60, 0, 3750))</f>
        <v>0.0</v>
      </c>
      <c r="T17" s="0">
        <f>IF(O17&gt;=80, 0, IF(O17&gt;=60, 500, 1500))</f>
        <v>0</v>
      </c>
      <c r="U17" s="0">
        <f>Q17+R17+S17+T17</f>
        <v>16800.0</v>
      </c>
      <c r="V17" s="0">
        <v>22000</v>
      </c>
      <c r="W17" s="0">
        <f>V17-U17</f>
        <v>5200.0</v>
      </c>
    </row>
    <row r="18">
      <c r="A18" t="s" s="5">
        <v>77</v>
      </c>
      <c r="B18" t="s" s="0">
        <v>78</v>
      </c>
      <c r="C18" t="s" s="0">
        <v>79</v>
      </c>
      <c r="D18" s="0">
        <v>1750</v>
      </c>
      <c r="E18" s="5">
        <v>11</v>
      </c>
      <c r="F18" s="5">
        <v>10</v>
      </c>
      <c r="G18" s="5">
        <v>32</v>
      </c>
      <c r="H18" s="5">
        <v>8</v>
      </c>
      <c r="I18" s="5">
        <v>101</v>
      </c>
      <c r="J18" s="5">
        <v>11.8</v>
      </c>
      <c r="K18" s="5">
        <v>79</v>
      </c>
      <c r="L18" s="5">
        <v>1</v>
      </c>
      <c r="M18" s="5">
        <f>MAX(10, MIN(100, ROUND(100 - (E18*2.5) - (F18*3) - (G18*0.5) - (H18*1.5), 1)))</f>
        <v>14.5</v>
      </c>
      <c r="N18" t="s" s="5">
        <v>31</v>
      </c>
      <c r="O18" s="5">
        <v>15</v>
      </c>
      <c r="P18" t="s" s="5">
        <v>32</v>
      </c>
      <c r="Q18" s="0">
        <v>15000</v>
      </c>
      <c r="R18" s="0">
        <f>ROUND((D18/1000)*2000, 0)</f>
        <v>3500.0</v>
      </c>
      <c r="S18" s="0">
        <f>IF(M18&gt;=80, -3000, IF(M18&gt;=60, 0, 3750))</f>
        <v>3750.0</v>
      </c>
      <c r="T18" s="0">
        <f>IF(O18&gt;=80, 0, IF(O18&gt;=60, 500, 1500))</f>
        <v>1500</v>
      </c>
      <c r="U18" s="0">
        <f>Q18+R18+S18+T18</f>
        <v>23750.0</v>
      </c>
      <c r="V18" s="0">
        <v>22000</v>
      </c>
      <c r="W18" s="0">
        <f>V18-U18</f>
        <v>-1750.0</v>
      </c>
    </row>
    <row r="19">
      <c r="A19" t="s" s="5">
        <v>80</v>
      </c>
      <c r="B19" t="s" s="0">
        <v>81</v>
      </c>
      <c r="C19" t="s" s="0">
        <v>82</v>
      </c>
      <c r="D19" s="0">
        <v>550</v>
      </c>
      <c r="E19" s="5">
        <v>1</v>
      </c>
      <c r="F19" s="5">
        <v>1</v>
      </c>
      <c r="G19" s="5">
        <v>3</v>
      </c>
      <c r="H19" s="5">
        <v>0</v>
      </c>
      <c r="I19" s="5">
        <v>87</v>
      </c>
      <c r="J19" s="5">
        <v>12.8</v>
      </c>
      <c r="K19" s="5">
        <v>15</v>
      </c>
      <c r="L19" s="5">
        <v>0</v>
      </c>
      <c r="M19" s="5">
        <f>MAX(10, MIN(100, ROUND(100 - (E19*2.5) - (F19*3) - (G19*0.5) - (H19*1.5), 1)))</f>
        <v>93.0</v>
      </c>
      <c r="N19" t="s" s="5">
        <v>26</v>
      </c>
      <c r="O19" s="5">
        <v>100</v>
      </c>
      <c r="P19" t="s" s="5">
        <v>27</v>
      </c>
      <c r="Q19" s="0">
        <v>15000</v>
      </c>
      <c r="R19" s="0">
        <f>ROUND((D19/1000)*2000, 0)</f>
        <v>1100.0</v>
      </c>
      <c r="S19" s="0">
        <f>IF(M19&gt;=80, -3000, IF(M19&gt;=60, 0, 3750))</f>
        <v>-3000.0</v>
      </c>
      <c r="T19" s="0">
        <f>IF(O19&gt;=80, 0, IF(O19&gt;=60, 500, 1500))</f>
        <v>0</v>
      </c>
      <c r="U19" s="0">
        <f>Q19+R19+S19+T19</f>
        <v>13100.0</v>
      </c>
      <c r="V19" s="0">
        <v>22000</v>
      </c>
      <c r="W19" s="0">
        <f>V19-U19</f>
        <v>8900.0</v>
      </c>
    </row>
    <row r="20">
      <c r="A20" t="s" s="5">
        <v>83</v>
      </c>
      <c r="B20" t="s" s="0">
        <v>84</v>
      </c>
      <c r="C20" t="s" s="0">
        <v>85</v>
      </c>
      <c r="D20" s="0">
        <v>1250</v>
      </c>
      <c r="E20" s="5">
        <v>6</v>
      </c>
      <c r="F20" s="5">
        <v>4</v>
      </c>
      <c r="G20" s="5">
        <v>16</v>
      </c>
      <c r="H20" s="5">
        <v>4</v>
      </c>
      <c r="I20" s="5">
        <v>92</v>
      </c>
      <c r="J20" s="5">
        <v>12.3</v>
      </c>
      <c r="K20" s="5">
        <v>50</v>
      </c>
      <c r="L20" s="5">
        <v>0</v>
      </c>
      <c r="M20" s="5">
        <f>MAX(10, MIN(100, ROUND(100 - (E20*2.5) - (F20*3) - (G20*0.5) - (H20*1.5), 1)))</f>
        <v>59.0</v>
      </c>
      <c r="N20" t="s" s="5">
        <v>31</v>
      </c>
      <c r="O20" s="5">
        <v>75</v>
      </c>
      <c r="P20" t="s" s="5">
        <v>49</v>
      </c>
      <c r="Q20" s="0">
        <v>15000</v>
      </c>
      <c r="R20" s="0">
        <f>ROUND((D20/1000)*2000, 0)</f>
        <v>2500.0</v>
      </c>
      <c r="S20" s="0">
        <f>IF(M20&gt;=80, -3000, IF(M20&gt;=60, 0, 3750))</f>
        <v>3750.0</v>
      </c>
      <c r="T20" s="0">
        <f>IF(O20&gt;=80, 0, IF(O20&gt;=60, 500, 1500))</f>
        <v>500</v>
      </c>
      <c r="U20" s="0">
        <f>Q20+R20+S20+T20</f>
        <v>21750.0</v>
      </c>
      <c r="V20" s="0">
        <v>22000</v>
      </c>
      <c r="W20" s="0">
        <f>V20-U20</f>
        <v>250.0</v>
      </c>
    </row>
    <row r="21">
      <c r="A21" t="s" s="5">
        <v>86</v>
      </c>
      <c r="B21" t="s" s="0">
        <v>87</v>
      </c>
      <c r="C21" t="s" s="0">
        <v>88</v>
      </c>
      <c r="D21" s="0">
        <v>1900</v>
      </c>
      <c r="E21" s="5">
        <v>13</v>
      </c>
      <c r="F21" s="5">
        <v>8</v>
      </c>
      <c r="G21" s="5">
        <v>38</v>
      </c>
      <c r="H21" s="5">
        <v>7</v>
      </c>
      <c r="I21" s="5">
        <v>103</v>
      </c>
      <c r="J21" s="5">
        <v>12.0</v>
      </c>
      <c r="K21" s="5">
        <v>84</v>
      </c>
      <c r="L21" s="5">
        <v>2</v>
      </c>
      <c r="M21" s="5">
        <f>MAX(10, MIN(100, ROUND(100 - (E21*2.5) - (F21*3) - (G21*0.5) - (H21*1.5), 1)))</f>
        <v>14.0</v>
      </c>
      <c r="N21" t="s" s="5">
        <v>31</v>
      </c>
      <c r="O21" s="5">
        <v>15</v>
      </c>
      <c r="P21" t="s" s="5">
        <v>32</v>
      </c>
      <c r="Q21" s="0">
        <v>15000</v>
      </c>
      <c r="R21" s="0">
        <f>ROUND((D21/1000)*2000, 0)</f>
        <v>3800.0</v>
      </c>
      <c r="S21" s="0">
        <f>IF(M21&gt;=80, -3000, IF(M21&gt;=60, 0, 3750))</f>
        <v>3750.0</v>
      </c>
      <c r="T21" s="0">
        <f>IF(O21&gt;=80, 0, IF(O21&gt;=60, 500, 1500))</f>
        <v>1500</v>
      </c>
      <c r="U21" s="0">
        <f>Q21+R21+S21+T21</f>
        <v>24050.0</v>
      </c>
      <c r="V21" s="0">
        <v>22000</v>
      </c>
      <c r="W21" s="0">
        <f>V21-U21</f>
        <v>-2050.0</v>
      </c>
    </row>
    <row r="22">
      <c r="A22" t="s" s="5">
        <v>89</v>
      </c>
      <c r="B22" t="s" s="0">
        <v>90</v>
      </c>
      <c r="C22" t="s" s="0">
        <v>91</v>
      </c>
      <c r="D22" s="0">
        <v>680</v>
      </c>
      <c r="E22" s="5">
        <v>2</v>
      </c>
      <c r="F22" s="5">
        <v>1</v>
      </c>
      <c r="G22" s="5">
        <v>5</v>
      </c>
      <c r="H22" s="5">
        <v>1</v>
      </c>
      <c r="I22" s="5">
        <v>88</v>
      </c>
      <c r="J22" s="5">
        <v>12.6</v>
      </c>
      <c r="K22" s="5">
        <v>26</v>
      </c>
      <c r="L22" s="5">
        <v>0</v>
      </c>
      <c r="M22" s="5">
        <f>MAX(10, MIN(100, ROUND(100 - (E22*2.5) - (F22*3) - (G22*0.5) - (H22*1.5), 1)))</f>
        <v>88.0</v>
      </c>
      <c r="N22" t="s" s="5">
        <v>26</v>
      </c>
      <c r="O22" s="5">
        <v>100</v>
      </c>
      <c r="P22" t="s" s="5">
        <v>27</v>
      </c>
      <c r="Q22" s="0">
        <v>15000</v>
      </c>
      <c r="R22" s="0">
        <f>ROUND((D22/1000)*2000, 0)</f>
        <v>1360.0</v>
      </c>
      <c r="S22" s="0">
        <f>IF(M22&gt;=80, -3000, IF(M22&gt;=60, 0, 3750))</f>
        <v>-3000.0</v>
      </c>
      <c r="T22" s="0">
        <f>IF(O22&gt;=80, 0, IF(O22&gt;=60, 500, 1500))</f>
        <v>0</v>
      </c>
      <c r="U22" s="0">
        <f>Q22+R22+S22+T22</f>
        <v>13360.0</v>
      </c>
      <c r="V22" s="0">
        <v>22000</v>
      </c>
      <c r="W22" s="0">
        <f>V22-U22</f>
        <v>8640.0</v>
      </c>
    </row>
    <row r="23">
      <c r="A23" t="s" s="5">
        <v>92</v>
      </c>
      <c r="B23" t="s" s="0">
        <v>93</v>
      </c>
      <c r="C23" t="s" s="0">
        <v>94</v>
      </c>
      <c r="D23" s="0">
        <v>880</v>
      </c>
      <c r="E23" s="5">
        <v>3</v>
      </c>
      <c r="F23" s="5">
        <v>2</v>
      </c>
      <c r="G23" s="5">
        <v>9</v>
      </c>
      <c r="H23" s="5">
        <v>2</v>
      </c>
      <c r="I23" s="5">
        <v>89</v>
      </c>
      <c r="J23" s="5">
        <v>12.5</v>
      </c>
      <c r="K23" s="5">
        <v>34</v>
      </c>
      <c r="L23" s="5">
        <v>0</v>
      </c>
      <c r="M23" s="5">
        <f>MAX(10, MIN(100, ROUND(100 - (E23*2.5) - (F23*3) - (G23*0.5) - (H23*1.5), 1)))</f>
        <v>79.0</v>
      </c>
      <c r="N23" t="s" s="5">
        <v>42</v>
      </c>
      <c r="O23" s="5">
        <v>100</v>
      </c>
      <c r="P23" t="s" s="5">
        <v>27</v>
      </c>
      <c r="Q23" s="0">
        <v>15000</v>
      </c>
      <c r="R23" s="0">
        <f>ROUND((D23/1000)*2000, 0)</f>
        <v>1760.0</v>
      </c>
      <c r="S23" s="0">
        <f>IF(M23&gt;=80, -3000, IF(M23&gt;=60, 0, 3750))</f>
        <v>0.0</v>
      </c>
      <c r="T23" s="0">
        <f>IF(O23&gt;=80, 0, IF(O23&gt;=60, 500, 1500))</f>
        <v>0</v>
      </c>
      <c r="U23" s="0">
        <f>Q23+R23+S23+T23</f>
        <v>16760.0</v>
      </c>
      <c r="V23" s="0">
        <v>22000</v>
      </c>
      <c r="W23" s="0">
        <f>V23-U23</f>
        <v>5240.0</v>
      </c>
    </row>
    <row r="24">
      <c r="A24" t="s" s="5">
        <v>95</v>
      </c>
      <c r="B24" t="s" s="0">
        <v>96</v>
      </c>
      <c r="C24" t="s" s="0">
        <v>97</v>
      </c>
      <c r="D24" s="0">
        <v>1450</v>
      </c>
      <c r="E24" s="5">
        <v>8</v>
      </c>
      <c r="F24" s="5">
        <v>6</v>
      </c>
      <c r="G24" s="5">
        <v>24</v>
      </c>
      <c r="H24" s="5">
        <v>5</v>
      </c>
      <c r="I24" s="5">
        <v>95</v>
      </c>
      <c r="J24" s="5">
        <v>12.2</v>
      </c>
      <c r="K24" s="5">
        <v>65</v>
      </c>
      <c r="L24" s="5">
        <v>0</v>
      </c>
      <c r="M24" s="5">
        <f>MAX(10, MIN(100, ROUND(100 - (E24*2.5) - (F24*3) - (G24*0.5) - (H24*1.5), 1)))</f>
        <v>42.5</v>
      </c>
      <c r="N24" t="s" s="5">
        <v>31</v>
      </c>
      <c r="O24" s="5">
        <v>75</v>
      </c>
      <c r="P24" t="s" s="5">
        <v>49</v>
      </c>
      <c r="Q24" s="0">
        <v>15000</v>
      </c>
      <c r="R24" s="0">
        <f>ROUND((D24/1000)*2000, 0)</f>
        <v>2900.0</v>
      </c>
      <c r="S24" s="0">
        <f>IF(M24&gt;=80, -3000, IF(M24&gt;=60, 0, 3750))</f>
        <v>3750.0</v>
      </c>
      <c r="T24" s="0">
        <f>IF(O24&gt;=80, 0, IF(O24&gt;=60, 500, 1500))</f>
        <v>500</v>
      </c>
      <c r="U24" s="0">
        <f>Q24+R24+S24+T24</f>
        <v>22150.0</v>
      </c>
      <c r="V24" s="0">
        <v>22000</v>
      </c>
      <c r="W24" s="0">
        <f>V24-U24</f>
        <v>-150.0</v>
      </c>
    </row>
    <row r="25">
      <c r="A25" t="s" s="5">
        <v>98</v>
      </c>
      <c r="B25" t="s" s="0">
        <v>99</v>
      </c>
      <c r="C25" t="s" s="0">
        <v>100</v>
      </c>
      <c r="D25" s="0">
        <v>1800</v>
      </c>
      <c r="E25" s="5">
        <v>11</v>
      </c>
      <c r="F25" s="5">
        <v>9</v>
      </c>
      <c r="G25" s="5">
        <v>34</v>
      </c>
      <c r="H25" s="5">
        <v>7</v>
      </c>
      <c r="I25" s="5">
        <v>99</v>
      </c>
      <c r="J25" s="5">
        <v>12.1</v>
      </c>
      <c r="K25" s="5">
        <v>78</v>
      </c>
      <c r="L25" s="5">
        <v>1</v>
      </c>
      <c r="M25" s="5">
        <f>MAX(10, MIN(100, ROUND(100 - (E25*2.5) - (F25*3) - (G25*0.5) - (H25*1.5), 1)))</f>
        <v>18.0</v>
      </c>
      <c r="N25" t="s" s="5">
        <v>31</v>
      </c>
      <c r="O25" s="5">
        <v>15</v>
      </c>
      <c r="P25" t="s" s="5">
        <v>32</v>
      </c>
      <c r="Q25" s="0">
        <v>15000</v>
      </c>
      <c r="R25" s="0">
        <f>ROUND((D25/1000)*2000, 0)</f>
        <v>3600.0</v>
      </c>
      <c r="S25" s="0">
        <f>IF(M25&gt;=80, -3000, IF(M25&gt;=60, 0, 3750))</f>
        <v>3750.0</v>
      </c>
      <c r="T25" s="0">
        <f>IF(O25&gt;=80, 0, IF(O25&gt;=60, 500, 1500))</f>
        <v>1500</v>
      </c>
      <c r="U25" s="0">
        <f>Q25+R25+S25+T25</f>
        <v>23850.0</v>
      </c>
      <c r="V25" s="0">
        <v>22000</v>
      </c>
      <c r="W25" s="0">
        <f>V25-U25</f>
        <v>-1850.0</v>
      </c>
    </row>
    <row r="26">
      <c r="A26" t="s" s="5">
        <v>101</v>
      </c>
      <c r="B26" t="s" s="0">
        <v>102</v>
      </c>
      <c r="C26" t="s" s="0">
        <v>103</v>
      </c>
      <c r="D26" s="0">
        <v>750</v>
      </c>
      <c r="E26" s="5">
        <v>2</v>
      </c>
      <c r="F26" s="5">
        <v>1</v>
      </c>
      <c r="G26" s="5">
        <v>7</v>
      </c>
      <c r="H26" s="5">
        <v>1</v>
      </c>
      <c r="I26" s="5">
        <v>88</v>
      </c>
      <c r="J26" s="5">
        <v>12.7</v>
      </c>
      <c r="K26" s="5">
        <v>30</v>
      </c>
      <c r="L26" s="5">
        <v>0</v>
      </c>
      <c r="M26" s="5">
        <f>MAX(10, MIN(100, ROUND(100 - (E26*2.5) - (F26*3) - (G26*0.5) - (H26*1.5), 1)))</f>
        <v>87.0</v>
      </c>
      <c r="N26" t="s" s="5">
        <v>26</v>
      </c>
      <c r="O26" s="5">
        <v>100</v>
      </c>
      <c r="P26" t="s" s="5">
        <v>27</v>
      </c>
      <c r="Q26" s="0">
        <v>15000</v>
      </c>
      <c r="R26" s="0">
        <f>ROUND((D26/1000)*2000, 0)</f>
        <v>1500.0</v>
      </c>
      <c r="S26" s="0">
        <f>IF(M26&gt;=80, -3000, IF(M26&gt;=60, 0, 3750))</f>
        <v>-3000.0</v>
      </c>
      <c r="T26" s="0">
        <f>IF(O26&gt;=80, 0, IF(O26&gt;=60, 500, 1500))</f>
        <v>0</v>
      </c>
      <c r="U26" s="0">
        <f>Q26+R26+S26+T26</f>
        <v>13500.0</v>
      </c>
      <c r="V26" s="0">
        <v>22000</v>
      </c>
      <c r="W26" s="0">
        <f>V26-U26</f>
        <v>8500.0</v>
      </c>
    </row>
  </sheetData>
</worksheet>
</file>

<file path=xl/worksheets/sheet2.xml><?xml version="1.0" encoding="utf-8"?>
<worksheet xmlns="http://schemas.openxmlformats.org/spreadsheetml/2006/main">
  <sheetFormatPr defaultRowHeight="22"/>
  <cols>
    <col min="1" max="1" width="25" customWidth="1"/>
    <col min="2" max="2" width="30" customWidth="1"/>
    <col min="3" max="3" width="32" customWidth="1"/>
    <col min="4" max="4" width="48" customWidth="1"/>
  </cols>
  <sheetData>
    <row r="1" ht="26">
      <c r="A1" t="s" s="2">
        <v>104</v>
      </c>
      <c r="B1" t="s" s="2">
        <v>105</v>
      </c>
      <c r="C1" t="s" s="2">
        <v>106</v>
      </c>
      <c r="D1" t="s" s="2">
        <v>107</v>
      </c>
    </row>
    <row r="2">
      <c r="A2" t="s" s="3">
        <v>108</v>
      </c>
      <c r="B2" t="s" s="0">
        <v>109</v>
      </c>
      <c r="C2" t="s" s="0">
        <v>110</v>
      </c>
      <c r="D2" t="s" s="0">
        <v>111</v>
      </c>
    </row>
    <row r="3">
      <c r="A3" t="s" s="0">
        <v>108</v>
      </c>
      <c r="B3" t="s" s="0">
        <v>112</v>
      </c>
      <c r="C3" t="s" s="0">
        <v>113</v>
      </c>
      <c r="D3" t="s" s="0">
        <v>114</v>
      </c>
    </row>
    <row r="4">
      <c r="A4" t="s" s="0">
        <v>108</v>
      </c>
      <c r="B4" t="s" s="0">
        <v>115</v>
      </c>
      <c r="C4" t="s" s="0">
        <v>116</v>
      </c>
      <c r="D4" t="s" s="0">
        <v>117</v>
      </c>
    </row>
    <row r="5">
      <c r="A5" t="s" s="0">
        <v>108</v>
      </c>
      <c r="B5" t="s" s="0">
        <v>118</v>
      </c>
      <c r="C5" t="s" s="0">
        <v>119</v>
      </c>
      <c r="D5" t="s" s="0">
        <v>120</v>
      </c>
    </row>
    <row r="6">
      <c r="A6" t="s" s="3">
        <v>121</v>
      </c>
      <c r="B6" t="s" s="0">
        <v>122</v>
      </c>
      <c r="C6" t="s" s="0">
        <v>123</v>
      </c>
      <c r="D6" t="s" s="0">
        <v>124</v>
      </c>
    </row>
    <row r="7">
      <c r="A7" t="s" s="0">
        <v>121</v>
      </c>
      <c r="B7" t="s" s="0">
        <v>125</v>
      </c>
      <c r="C7" t="s" s="0">
        <v>126</v>
      </c>
      <c r="D7" t="s" s="0">
        <v>127</v>
      </c>
    </row>
    <row r="8">
      <c r="A8" t="s" s="0">
        <v>121</v>
      </c>
      <c r="B8" t="s" s="0">
        <v>128</v>
      </c>
      <c r="C8" t="s" s="0">
        <v>129</v>
      </c>
      <c r="D8" t="s" s="0">
        <v>130</v>
      </c>
    </row>
    <row r="9">
      <c r="A9" t="s" s="3">
        <v>131</v>
      </c>
      <c r="B9" t="s" s="0">
        <v>132</v>
      </c>
      <c r="C9" t="s" s="0">
        <v>133</v>
      </c>
      <c r="D9" t="s" s="0">
        <v>134</v>
      </c>
    </row>
    <row r="10">
      <c r="A10" t="s" s="0">
        <v>131</v>
      </c>
      <c r="B10" t="s" s="0">
        <v>135</v>
      </c>
      <c r="C10" t="s" s="0">
        <v>136</v>
      </c>
      <c r="D10" t="s" s="0">
        <v>137</v>
      </c>
    </row>
    <row r="11">
      <c r="A11" t="s" s="0">
        <v>131</v>
      </c>
      <c r="B11" t="s" s="0">
        <v>138</v>
      </c>
      <c r="C11" t="s" s="0">
        <v>139</v>
      </c>
      <c r="D11" t="s" s="0">
        <v>140</v>
      </c>
    </row>
    <row r="12">
      <c r="A12" t="s" s="3">
        <v>141</v>
      </c>
      <c r="B12" t="s" s="0">
        <v>142</v>
      </c>
      <c r="C12" t="s" s="0">
        <v>143</v>
      </c>
      <c r="D12" t="s" s="0">
        <v>144</v>
      </c>
    </row>
  </sheetData>
</worksheet>
</file>

<file path=xl/worksheets/sheet3.xml><?xml version="1.0" encoding="utf-8"?>
<worksheet xmlns="http://schemas.openxmlformats.org/spreadsheetml/2006/main">
  <sheetFormatPr defaultRowHeight="22"/>
  <cols>
    <col min="1" max="1" width="34" customWidth="1"/>
    <col min="2" max="2" width="22" customWidth="1"/>
    <col min="3" max="3" width="55" customWidth="1"/>
  </cols>
  <sheetData>
    <row r="1" ht="28">
      <c r="A1" t="s" s="1">
        <v>145</v>
      </c>
      <c r="B1" t="s" s="1">
        <v>146</v>
      </c>
      <c r="C1" t="s" s="1">
        <v>147</v>
      </c>
    </row>
    <row r="2">
      <c r="A2" t="s" s="0">
        <v>148</v>
      </c>
      <c r="B2" s="5">
        <f>COUNTA('Fleet Telematics &amp; Risk'!A2:A26)</f>
        <v>25</v>
      </c>
      <c r="C2" t="s" s="0">
        <v>149</v>
      </c>
    </row>
    <row r="3">
      <c r="A3" t="s" s="0">
        <v>150</v>
      </c>
      <c r="B3" s="5">
        <f>ROUND(AVERAGE('Fleet Telematics &amp; Risk'!M2:M26), 1)</f>
        <v>76.4</v>
      </c>
      <c r="C3" t="s" s="0">
        <v>151</v>
      </c>
    </row>
    <row r="4">
      <c r="A4" t="s" s="0">
        <v>152</v>
      </c>
      <c r="B4" s="5">
        <f>COUNTIF('Fleet Telematics &amp; Risk'!N2:N26, "Low Risk")</f>
        <v>12</v>
      </c>
      <c r="C4" t="s" s="0">
        <v>153</v>
      </c>
    </row>
    <row r="5">
      <c r="A5" t="s" s="0">
        <v>154</v>
      </c>
      <c r="B5" s="5">
        <f>COUNTIF('Fleet Telematics &amp; Risk'!N2:N26, "High Risk")</f>
        <v>6</v>
      </c>
      <c r="C5" t="s" s="0">
        <v>155</v>
      </c>
    </row>
    <row r="6">
      <c r="A6" t="s" s="0">
        <v>156</v>
      </c>
      <c r="B6" s="5">
        <f>COUNTIF('Fleet Telematics &amp; Risk'!P2:P26, "Critical Maintenance")</f>
        <v>5</v>
      </c>
      <c r="C6" t="s" s="0">
        <v>157</v>
      </c>
    </row>
    <row r="7">
      <c r="A7" t="s" s="0">
        <v>158</v>
      </c>
      <c r="B7" s="0">
        <f>SUM('Fleet Telematics &amp; Risk'!U2:U26)</f>
        <v>435550</v>
      </c>
      <c r="C7" t="s" s="0">
        <v>159</v>
      </c>
    </row>
    <row r="8">
      <c r="A8" t="s" s="0">
        <v>160</v>
      </c>
      <c r="B8" s="0">
        <f>SUM('Fleet Telematics &amp; Risk'!W2:W26)</f>
        <v>114450</v>
      </c>
      <c r="C8" t="s" s="0">
        <v>161</v>
      </c>
    </row>
  </sheetData>
</worksheet>
</file>