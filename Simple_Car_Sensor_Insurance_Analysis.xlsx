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hicle Sensor Telemetry" sheetId="1" r:id="rId1"/>
    <sheet name="OBD &amp; Diagnostics Health" sheetId="2" r:id="rId2"/>
    <sheet name="Pricing Rules &amp; Formulas" sheetId="3" r:id="rId3"/>
  </sheets>
</workbook>
</file>

<file path=xl/sharedStrings.xml><?xml version="1.0" encoding="utf-8"?>
<sst xmlns="http://schemas.openxmlformats.org/spreadsheetml/2006/main" count="184" uniqueCount="184">
  <si>
    <t>Car ID</t>
  </si>
  <si>
    <t>VIN</t>
  </si>
  <si>
    <t>Registration</t>
  </si>
  <si>
    <t>Driver Name</t>
  </si>
  <si>
    <t>Car Model</t>
  </si>
  <si>
    <t>Odometer (km)</t>
  </si>
  <si>
    <t>Route / Region</t>
  </si>
  <si>
    <t>Monthly KM</t>
  </si>
  <si>
    <t>Harsh Brakes</t>
  </si>
  <si>
    <t>Speeding Events</t>
  </si>
  <si>
    <t>Max Speed (km/h)</t>
  </si>
  <si>
    <t>Night Driving (Hrs)</t>
  </si>
  <si>
    <t>Driving Safety Score</t>
  </si>
  <si>
    <t>Risk Tier</t>
  </si>
  <si>
    <t>Base Premium (₹)</t>
  </si>
  <si>
    <t>Risk Adjustment (₹)</t>
  </si>
  <si>
    <t>Maintenance Fee (₹)</t>
  </si>
  <si>
    <t>Dynamic Final Premium (₹)</t>
  </si>
  <si>
    <t>Standard Flat Premium (₹)</t>
  </si>
  <si>
    <t>Driver Savings (₹)</t>
  </si>
  <si>
    <t>CAR-01</t>
  </si>
  <si>
    <t>MBH1234567A8901</t>
  </si>
  <si>
    <t>KA-01-MJ-4521</t>
  </si>
  <si>
    <t>Aarav Sharma</t>
  </si>
  <si>
    <t>Hyundai Creta SX (O)</t>
  </si>
  <si>
    <t>Bengaluru (ORR - Whitefield)</t>
  </si>
  <si>
    <t>Safe (Low Risk)</t>
  </si>
  <si>
    <t>CAR-02</t>
  </si>
  <si>
    <t>MAT9876543B1234</t>
  </si>
  <si>
    <t>MH-02-DN-8842</t>
  </si>
  <si>
    <t>Priya Nair</t>
  </si>
  <si>
    <t>Maruti Brezza ZXi+</t>
  </si>
  <si>
    <t>Mumbai (Western Express Hwy)</t>
  </si>
  <si>
    <t>Risky (High Risk)</t>
  </si>
  <si>
    <t>CAR-03</t>
  </si>
  <si>
    <t>TAT4567890C5678</t>
  </si>
  <si>
    <t>DL-08-CC-1902</t>
  </si>
  <si>
    <t>Rohan Mehta</t>
  </si>
  <si>
    <t>Tata Nexon EV Max</t>
  </si>
  <si>
    <t>Delhi NCR (Noida Expressway)</t>
  </si>
  <si>
    <t>CAR-04</t>
  </si>
  <si>
    <t>MAH6789012D3456</t>
  </si>
  <si>
    <t>KA-05-NB-9011</t>
  </si>
  <si>
    <t>Sneha Kulkarni</t>
  </si>
  <si>
    <t>Mahindra XUV700 AX7</t>
  </si>
  <si>
    <t>Bengaluru (Hosur Rd - Electronic City)</t>
  </si>
  <si>
    <t>CAR-05</t>
  </si>
  <si>
    <t>MAK3456789E7890</t>
  </si>
  <si>
    <t>DL-03-AB-7744</t>
  </si>
  <si>
    <t>Vikram Singh</t>
  </si>
  <si>
    <t>Honda City ZX</t>
  </si>
  <si>
    <t>Delhi (Ring Road - Connaught Place)</t>
  </si>
  <si>
    <t>Average (Moderate Risk)</t>
  </si>
  <si>
    <t>CAR-06</t>
  </si>
  <si>
    <t>KNA1298347F4567</t>
  </si>
  <si>
    <t>TN-07-CD-3321</t>
  </si>
  <si>
    <t>Ananya Roy</t>
  </si>
  <si>
    <t>Kia Seltos GTX+</t>
  </si>
  <si>
    <t>Chennai (OMR IT Corridor)</t>
  </si>
  <si>
    <t>CAR-07</t>
  </si>
  <si>
    <t>TAT9988776G1122</t>
  </si>
  <si>
    <t>GJ-01-KP-5678</t>
  </si>
  <si>
    <t>Karan Patel</t>
  </si>
  <si>
    <t>Tata Punch Creative</t>
  </si>
  <si>
    <t>Ahmedabad (SG Highway)</t>
  </si>
  <si>
    <t>CAR-08</t>
  </si>
  <si>
    <t>MAR5566778H8899</t>
  </si>
  <si>
    <t>DL-01-ZA-6632</t>
  </si>
  <si>
    <t>Neha Gupta</t>
  </si>
  <si>
    <t>Maruti Baleno Alpha</t>
  </si>
  <si>
    <t>Delhi NCR (Gurugram Cyber Hub)</t>
  </si>
  <si>
    <t>CAR-09</t>
  </si>
  <si>
    <t>TOY4433221I3344</t>
  </si>
  <si>
    <t>KA-03-MP-8120</t>
  </si>
  <si>
    <t>Aditya Verma</t>
  </si>
  <si>
    <t>Toyota Urban Cruiser Hyryder</t>
  </si>
  <si>
    <t>Bengaluru (Koramangala - Indiranagar)</t>
  </si>
  <si>
    <t>CAR-10</t>
  </si>
  <si>
    <t>HYU8877665J2233</t>
  </si>
  <si>
    <t>KL-07-CB-9087</t>
  </si>
  <si>
    <t>Divya Menon</t>
  </si>
  <si>
    <t>Hyundai Venue SX</t>
  </si>
  <si>
    <t>Kochi (MG Road - Bypass)</t>
  </si>
  <si>
    <t>CAR-11</t>
  </si>
  <si>
    <t>MAH9900112K4455</t>
  </si>
  <si>
    <t>MH-14-TH-4499</t>
  </si>
  <si>
    <t>Siddharth Das</t>
  </si>
  <si>
    <t>Mahindra Thar LX 4x4</t>
  </si>
  <si>
    <t>Pune (Mumbai-Pune Expressway)</t>
  </si>
  <si>
    <t>CAR-12</t>
  </si>
  <si>
    <t>SKO3344556L7788</t>
  </si>
  <si>
    <t>TS-09-FA-8812</t>
  </si>
  <si>
    <t>Pooja Reddy</t>
  </si>
  <si>
    <t>Skoda Kushaq Style 1.5</t>
  </si>
  <si>
    <t>Hyderabad (Gachibowli - Hitec City)</t>
  </si>
  <si>
    <t>CAR-13</t>
  </si>
  <si>
    <t>WVW2233445M9900</t>
  </si>
  <si>
    <t>MH-01-DE-7711</t>
  </si>
  <si>
    <t>Rahul Deshmukh</t>
  </si>
  <si>
    <t>Volkswagen Taigun GT</t>
  </si>
  <si>
    <t>Mumbai (Eastern Freeway)</t>
  </si>
  <si>
    <t>CAR-14</t>
  </si>
  <si>
    <t>TAT7766554N1133</t>
  </si>
  <si>
    <t>UP-16-BX-9944</t>
  </si>
  <si>
    <t>Tanvi Joshi</t>
  </si>
  <si>
    <t>Tata Harrier Fearless</t>
  </si>
  <si>
    <t>Noida (Yamuna Expressway)</t>
  </si>
  <si>
    <t>CAR-15</t>
  </si>
  <si>
    <t>MAK1122334O5566</t>
  </si>
  <si>
    <t>HR-26-EE-3388</t>
  </si>
  <si>
    <t>Manish Chopra</t>
  </si>
  <si>
    <t>Honda Elevate ZX</t>
  </si>
  <si>
    <t>Gurugram (Golf Course Extension)</t>
  </si>
  <si>
    <t>FLEET AVERAGE</t>
  </si>
  <si>
    <t>Driver</t>
  </si>
  <si>
    <t>Coolant Temp (°C)</t>
  </si>
  <si>
    <t>Battery Voltage (V)</t>
  </si>
  <si>
    <t>Brake Pad (mm)</t>
  </si>
  <si>
    <t>Max Decel G-Force</t>
  </si>
  <si>
    <t>OBD DTC Diagnostic Code</t>
  </si>
  <si>
    <t>Health Status</t>
  </si>
  <si>
    <t>Recommended Action</t>
  </si>
  <si>
    <t>-0.42g</t>
  </si>
  <si>
    <t>None (System Healthy)</t>
  </si>
  <si>
    <t>Good</t>
  </si>
  <si>
    <t>Normal servicing scheduled in 5,750 km.</t>
  </si>
  <si>
    <t>-0.68g (ABS Active)</t>
  </si>
  <si>
    <t>P0128 (Coolant Temp Warning), P0562 (Low System Voltage)</t>
  </si>
  <si>
    <t>Alert</t>
  </si>
  <si>
    <t>CRITICAL: Front brake pads worn (2.8mm). Low battery voltage (11.9V) requires alternator inspection.</t>
  </si>
  <si>
    <t>-0.32g</t>
  </si>
  <si>
    <t>Optimal condition. Regenerative braking reducing pad wear.</t>
  </si>
  <si>
    <t>-0.72g (Emergency Braking)</t>
  </si>
  <si>
    <t>P0217 (Engine Overheat Condition), P0562 (Battery Voltage Low)</t>
  </si>
  <si>
    <t>CRITICAL: Severe brake pad wear (2.2mm). Engine coolant hit 105°C during high speed run.</t>
  </si>
  <si>
    <t>-0.45g</t>
  </si>
  <si>
    <t>Vehicle in good operating condition.</t>
  </si>
  <si>
    <t>-0.50g</t>
  </si>
  <si>
    <t>None (Minor TPMS notification)</t>
  </si>
  <si>
    <t>Fair</t>
  </si>
  <si>
    <t>Routine inspection due in 1,600 km. TPMS pressure adjustment needed.</t>
  </si>
  <si>
    <t>-0.38g</t>
  </si>
  <si>
    <t>All vehicle sensors in optimal parameters.</t>
  </si>
  <si>
    <t>-0.66g (ABS Active)</t>
  </si>
  <si>
    <t>P0420 (Catalyst System Efficiency), P0562 (Low Voltage)</t>
  </si>
  <si>
    <t>CRITICAL: Front brake pad wear critical (3.0mm). Low battery voltage logged.</t>
  </si>
  <si>
    <t>-0.40g</t>
  </si>
  <si>
    <t>Strong hybrid powertrain operating at peak efficiency.</t>
  </si>
  <si>
    <t>-0.54g</t>
  </si>
  <si>
    <t>None</t>
  </si>
  <si>
    <t>Brake pads at 4.8mm. Monitor before next intercity trip.</t>
  </si>
  <si>
    <t>-0.74g (ABS Active)</t>
  </si>
  <si>
    <t>P0217 (Engine Overheat), P0562 (Low Voltage), P0571 (Brake Switch)</t>
  </si>
  <si>
    <t>CRITICAL RISK: Severe engine overheating (106°C) and brake pad wear at 2.0mm. Immediate workshop visit required.</t>
  </si>
  <si>
    <t>-0.34g</t>
  </si>
  <si>
    <t>All vehicle systems in pristine factory condition.</t>
  </si>
  <si>
    <t>-0.56g</t>
  </si>
  <si>
    <t>Vehicle health normal. Scheduled service in 3,200 km.</t>
  </si>
  <si>
    <t>-0.70g (ABS Active)</t>
  </si>
  <si>
    <t>P0128 (Coolant Temp Below Regulating), P0562 (Low System Voltage)</t>
  </si>
  <si>
    <t>CRITICAL: Brake pad replacement required (2.9mm). Engine cooling system inspection needed.</t>
  </si>
  <si>
    <t>-0.41g</t>
  </si>
  <si>
    <t>Vehicle health optimal.</t>
  </si>
  <si>
    <t>Rule / Metric</t>
  </si>
  <si>
    <t>Simple Formula / Logic</t>
  </si>
  <si>
    <t>Premium Pricing Impact</t>
  </si>
  <si>
    <t>Driving Score Formula</t>
  </si>
  <si>
    <t>100 - (Brakes*3) - (Speeding*4) - (Night_Hrs*2)</t>
  </si>
  <si>
    <t>Outputs 0 to 100 Safety Score</t>
  </si>
  <si>
    <t>Safe Driver Category</t>
  </si>
  <si>
    <t>Score &gt;= 80</t>
  </si>
  <si>
    <t>-₹3,000 Discount on Base</t>
  </si>
  <si>
    <t>Average Driver Category</t>
  </si>
  <si>
    <t>Score 60 to 79</t>
  </si>
  <si>
    <t>₹0 (Standard Base ₹15,000)</t>
  </si>
  <si>
    <t>Risky Driver Category</t>
  </si>
  <si>
    <t>Score &lt; 60</t>
  </si>
  <si>
    <t>+₹3,000 Surcharge on Base</t>
  </si>
  <si>
    <t>OBD Health Alert Fee</t>
  </si>
  <si>
    <t>Brake wear &lt; 3.5mm OR Batt &lt; 12.1V OR Temp &gt; 98C</t>
  </si>
  <si>
    <t>+₹1,000 Maintenance Risk Fee</t>
  </si>
  <si>
    <t>Dynamic Final Premium</t>
  </si>
  <si>
    <t>Base Premium (₹15,000) + Risk Adj + Maintenance Fee</t>
  </si>
  <si>
    <t>Tailored fair annual premium</t>
  </si>
</sst>
</file>

<file path=xl/styles.xml><?xml version="1.0" encoding="UTF-8" standalone="yes"?>
<styleSheet xmlns="http://schemas.openxmlformats.org/spreadsheetml/2006/main">
    <fonts count="5">
        <font><name val="Calibri"/><sz val="11"/></font>
        <font><b/><name val="Calibri"/><sz val="11"/><color rgb="FFFFFFFF"/></font>
        <font><b/><name val="Calibri"/><sz val="11"/><color rgb="FF1E3A8A"/></font>
        <font><b/><name val="Calibri"/><sz val="12"/><color rgb="FF0F172A"/></font>
        <font><b/><name val="Calibri"/><sz val="11"/><color rgb="FF15803D"/></font>
    </fonts>
    <fills count="6">
        <fill><patternFill patternType="none"/></fill>
        <fill><patternFill patternType="gray125"/></fill>
        <fill><patternFill patternType="solid"><fgColor rgb="FF1D4ED8"/></fgColor></patternFill></fill>
        <fill><patternFill patternType="solid"><fgColor rgb="FFF1F5F9"/></fgColor></patternFill></fill>
        <fill><patternFill patternType="solid"><fgColor rgb="FFDCFCE7"/></fgColor></patternFill></fill>
        <fill><patternFill patternType="solid"><fgColor rgb="FF0284C7"/></fgColor></patternFill></fill>
    </fills>
    <borders count="2">
        <border><left/><right/><top/><bottom/></border>
        <border>
            <left style="thin"><color rgb="FFCBD5E1"/></left>
            <right style="thin"><color rgb="FFCBD5E1"/></right>
            <top style="thin"><color rgb="FFCBD5E1"/></top>
            <bottom style="thin"><color rgb="FFCBD5E1"/></bottom>
        </border>
    </borders>
    <cellStyleXfs count="1"><xf numFmtId="0" fontId="0" fillId="0" borderId="0"/></cellStyleXfs>
    <cellXfs count="6">
        <xf numFmtId="0" fontId="0" fillId="0" borderId="1" xfId="0"/>
        <xf numFmtId="0" fontId="1" fillId="2" borderId="1" xfId="0" applyFont="1" applyFill="1" applyBorder="1" applyAlignment="1"><alignment horizontal="center" vertical="center"/></xf>
        <xf numFmtId="0" fontId="2" fillId="3" borderId="1" xfId="0" applyFont="1" applyFill="1" applyBorder="1"/>
        <xf numFmtId="0" fontId="0" fillId="0" borderId="1" xfId="0" applyAlignment="1"><alignment horizontal="center" vertical="center"/></xf>
        <xf numFmtId="0" fontId="4" fillId="4" borderId="1" xfId="0" applyFont="1" applyFill="1" applyBorder="1" applyAlignment="1"><alignment horizontal="center" vertical="center"/></xf>
        <xf numFmtId="0" fontId="1" fillId="5" borderId="1" xfId="0" applyFont="1" applyFill="1" applyBorder="1" applyAlignment="1"><alignment horizontal="center" vertical="center"/></xf>
  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styles" Target="styles.xml"/>
  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FormatPr defaultRowHeight="20"/>
  <cols>
    <col min="1" max="1" width="12" customWidth="1"/>
    <col min="2" max="2" width="18" customWidth="1"/>
    <col min="3" max="3" width="16" customWidth="1"/>
    <col min="4" max="4" width="18" customWidth="1"/>
    <col min="5" max="5" width="22" customWidth="1"/>
    <col min="6" max="6" width="14" customWidth="1"/>
    <col min="7" max="7" width="28" customWidth="1"/>
    <col min="8" max="12" width="16" customWidth="1"/>
    <col min="13" max="13" width="20" customWidth="1"/>
    <col min="14" max="14" width="22" customWidth="1"/>
    <col min="15" max="20" width="18" customWidth="1"/>
  </cols>
  <sheetData>
    <row r="1" ht="26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3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s="0">
        <v>14250</v>
      </c>
      <c r="G2" t="s" s="0">
        <v>25</v>
      </c>
      <c r="H2" s="3">
        <v>750</v>
      </c>
      <c r="I2" s="3">
        <v>2</v>
      </c>
      <c r="J2" s="3">
        <v>1</v>
      </c>
      <c r="K2" s="3">
        <v>86</v>
      </c>
      <c r="L2" s="3">
        <v>3</v>
      </c>
      <c r="M2" s="3">
        <f>100 - (I2*3) - (J2*4) - (L2*2)</f>
        <v>84</v>
      </c>
      <c r="N2" t="s" s="3">
        <v>26</v>
      </c>
      <c r="O2" s="0">
        <v>15000</v>
      </c>
      <c r="P2" s="0">
        <f>IF(M2&gt;=80, -3000, IF(M2&gt;=60, 0, 3000))</f>
        <v>-3000</v>
      </c>
      <c r="Q2" s="0">
        <v>0</v>
      </c>
      <c r="R2" s="0">
        <f>O2+P2+Q2</f>
        <v>12000</v>
      </c>
      <c r="S2" s="0">
        <v>18000</v>
      </c>
      <c r="T2" s="0">
        <f>S2-R2</f>
        <v>6000</v>
      </c>
    </row>
    <row r="3">
      <c r="A3" t="s" s="3">
        <v>27</v>
      </c>
      <c r="B3" t="s" s="0">
        <v>28</v>
      </c>
      <c r="C3" t="s" s="0">
        <v>29</v>
      </c>
      <c r="D3" t="s" s="0">
        <v>30</v>
      </c>
      <c r="E3" t="s" s="0">
        <v>31</v>
      </c>
      <c r="F3" s="0">
        <v>28900</v>
      </c>
      <c r="G3" t="s" s="0">
        <v>32</v>
      </c>
      <c r="H3" s="3">
        <v>1400</v>
      </c>
      <c r="I3" s="3">
        <v>8</v>
      </c>
      <c r="J3" s="3">
        <v>5</v>
      </c>
      <c r="K3" s="3">
        <v>112</v>
      </c>
      <c r="L3" s="3">
        <v>12</v>
      </c>
      <c r="M3" s="3">
        <f>100 - (I3*3) - (J3*4) - (L3*2)</f>
        <v>32</v>
      </c>
      <c r="N3" t="s" s="3">
        <v>33</v>
      </c>
      <c r="O3" s="0">
        <v>15000</v>
      </c>
      <c r="P3" s="0">
        <f>IF(M3&gt;=80, -3000, IF(M3&gt;=60, 0, 3000))</f>
        <v>3000</v>
      </c>
      <c r="Q3" s="0">
        <v>1000</v>
      </c>
      <c r="R3" s="0">
        <f>O3+P3+Q3</f>
        <v>19000</v>
      </c>
      <c r="S3" s="0">
        <v>18000</v>
      </c>
      <c r="T3" s="0">
        <f>S3-R3</f>
        <v>-1000</v>
      </c>
    </row>
    <row r="4">
      <c r="A4" t="s" s="3">
        <v>34</v>
      </c>
      <c r="B4" t="s" s="0">
        <v>35</v>
      </c>
      <c r="C4" t="s" s="0">
        <v>36</v>
      </c>
      <c r="D4" t="s" s="0">
        <v>37</v>
      </c>
      <c r="E4" t="s" s="0">
        <v>38</v>
      </c>
      <c r="F4" s="0">
        <v>6800</v>
      </c>
      <c r="G4" t="s" s="0">
        <v>39</v>
      </c>
      <c r="H4" s="3">
        <v>500</v>
      </c>
      <c r="I4" s="3">
        <v>1</v>
      </c>
      <c r="J4" s="3">
        <v>0</v>
      </c>
      <c r="K4" s="3">
        <v>68</v>
      </c>
      <c r="L4" s="3">
        <v>2</v>
      </c>
      <c r="M4" s="3">
        <f>100 - (I4*3) - (J4*4) - (L4*2)</f>
        <v>93</v>
      </c>
      <c r="N4" t="s" s="3">
        <v>26</v>
      </c>
      <c r="O4" s="0">
        <v>15000</v>
      </c>
      <c r="P4" s="0">
        <f>IF(M4&gt;=80, -3000, IF(M4&gt;=60, 0, 3000))</f>
        <v>-3000</v>
      </c>
      <c r="Q4" s="0">
        <v>0</v>
      </c>
      <c r="R4" s="0">
        <f>O4+P4+Q4</f>
        <v>12000</v>
      </c>
      <c r="S4" s="0">
        <v>18000</v>
      </c>
      <c r="T4" s="0">
        <f>S4-R4</f>
        <v>6000</v>
      </c>
    </row>
    <row r="5">
      <c r="A5" t="s" s="3">
        <v>40</v>
      </c>
      <c r="B5" t="s" s="0">
        <v>41</v>
      </c>
      <c r="C5" t="s" s="0">
        <v>42</v>
      </c>
      <c r="D5" t="s" s="0">
        <v>43</v>
      </c>
      <c r="E5" t="s" s="0">
        <v>44</v>
      </c>
      <c r="F5" s="0">
        <v>31200</v>
      </c>
      <c r="G5" t="s" s="0">
        <v>45</v>
      </c>
      <c r="H5" s="3">
        <v>1800</v>
      </c>
      <c r="I5" s="3">
        <v>10</v>
      </c>
      <c r="J5" s="3">
        <v>7</v>
      </c>
      <c r="K5" s="3">
        <v>128</v>
      </c>
      <c r="L5" s="3">
        <v>15</v>
      </c>
      <c r="M5" s="3">
        <f>100 - (I5*3) - (J5*4) - (L5*2)</f>
        <v>20</v>
      </c>
      <c r="N5" t="s" s="3">
        <v>33</v>
      </c>
      <c r="O5" s="0">
        <v>15000</v>
      </c>
      <c r="P5" s="0">
        <f>IF(M5&gt;=80, -3000, IF(M5&gt;=60, 0, 3000))</f>
        <v>3000</v>
      </c>
      <c r="Q5" s="0">
        <v>1000</v>
      </c>
      <c r="R5" s="0">
        <f>O5+P5+Q5</f>
        <v>19000</v>
      </c>
      <c r="S5" s="0">
        <v>18000</v>
      </c>
      <c r="T5" s="0">
        <f>S5-R5</f>
        <v>-1000</v>
      </c>
    </row>
    <row r="6">
      <c r="A6" t="s" s="3">
        <v>46</v>
      </c>
      <c r="B6" t="s" s="0">
        <v>47</v>
      </c>
      <c r="C6" t="s" s="0">
        <v>48</v>
      </c>
      <c r="D6" t="s" s="0">
        <v>49</v>
      </c>
      <c r="E6" t="s" s="0">
        <v>50</v>
      </c>
      <c r="F6" s="0">
        <v>21500</v>
      </c>
      <c r="G6" t="s" s="0">
        <v>51</v>
      </c>
      <c r="H6" s="3">
        <v>900</v>
      </c>
      <c r="I6" s="3">
        <v>4</v>
      </c>
      <c r="J6" s="3">
        <v>2</v>
      </c>
      <c r="K6" s="3">
        <v>88</v>
      </c>
      <c r="L6" s="3">
        <v>5</v>
      </c>
      <c r="M6" s="3">
        <f>100 - (I6*3) - (J6*4) - (L6*2)</f>
        <v>70</v>
      </c>
      <c r="N6" t="s" s="3">
        <v>52</v>
      </c>
      <c r="O6" s="0">
        <v>15000</v>
      </c>
      <c r="P6" s="0">
        <f>IF(M6&gt;=80, -3000, IF(M6&gt;=60, 0, 3000))</f>
        <v>0</v>
      </c>
      <c r="Q6" s="0">
        <v>0</v>
      </c>
      <c r="R6" s="0">
        <f>O6+P6+Q6</f>
        <v>15000</v>
      </c>
      <c r="S6" s="0">
        <v>18000</v>
      </c>
      <c r="T6" s="0">
        <f>S6-R6</f>
        <v>3000</v>
      </c>
    </row>
    <row r="7">
      <c r="A7" t="s" s="3">
        <v>53</v>
      </c>
      <c r="B7" t="s" s="0">
        <v>54</v>
      </c>
      <c r="C7" t="s" s="0">
        <v>55</v>
      </c>
      <c r="D7" t="s" s="0">
        <v>56</v>
      </c>
      <c r="E7" t="s" s="0">
        <v>57</v>
      </c>
      <c r="F7" s="0">
        <v>18400</v>
      </c>
      <c r="G7" t="s" s="0">
        <v>58</v>
      </c>
      <c r="H7" s="3">
        <v>1100</v>
      </c>
      <c r="I7" s="3">
        <v>5</v>
      </c>
      <c r="J7" s="3">
        <v>3</v>
      </c>
      <c r="K7" s="3">
        <v>92</v>
      </c>
      <c r="L7" s="3">
        <v>6</v>
      </c>
      <c r="M7" s="3">
        <f>100 - (I7*3) - (J7*4) - (L7*2)</f>
        <v>61</v>
      </c>
      <c r="N7" t="s" s="3">
        <v>52</v>
      </c>
      <c r="O7" s="0">
        <v>15000</v>
      </c>
      <c r="P7" s="0">
        <f>IF(M7&gt;=80, -3000, IF(M7&gt;=60, 0, 3000))</f>
        <v>0</v>
      </c>
      <c r="Q7" s="0">
        <v>0</v>
      </c>
      <c r="R7" s="0">
        <f>O7+P7+Q7</f>
        <v>15000</v>
      </c>
      <c r="S7" s="0">
        <v>18000</v>
      </c>
      <c r="T7" s="0">
        <f>S7-R7</f>
        <v>3000</v>
      </c>
    </row>
    <row r="8">
      <c r="A8" t="s" s="3">
        <v>59</v>
      </c>
      <c r="B8" t="s" s="0">
        <v>60</v>
      </c>
      <c r="C8" t="s" s="0">
        <v>61</v>
      </c>
      <c r="D8" t="s" s="0">
        <v>62</v>
      </c>
      <c r="E8" t="s" s="0">
        <v>63</v>
      </c>
      <c r="F8" s="0">
        <v>11200</v>
      </c>
      <c r="G8" t="s" s="0">
        <v>64</v>
      </c>
      <c r="H8" s="3">
        <v>650</v>
      </c>
      <c r="I8" s="3">
        <v>2</v>
      </c>
      <c r="J8" s="3">
        <v>1</v>
      </c>
      <c r="K8" s="3">
        <v>84</v>
      </c>
      <c r="L8" s="3">
        <v>2</v>
      </c>
      <c r="M8" s="3">
        <f>100 - (I8*3) - (J8*4) - (L8*2)</f>
        <v>86</v>
      </c>
      <c r="N8" t="s" s="3">
        <v>26</v>
      </c>
      <c r="O8" s="0">
        <v>15000</v>
      </c>
      <c r="P8" s="0">
        <f>IF(M8&gt;=80, -3000, IF(M8&gt;=60, 0, 3000))</f>
        <v>-3000</v>
      </c>
      <c r="Q8" s="0">
        <v>0</v>
      </c>
      <c r="R8" s="0">
        <f>O8+P8+Q8</f>
        <v>12000</v>
      </c>
      <c r="S8" s="0">
        <v>18000</v>
      </c>
      <c r="T8" s="0">
        <f>S8-R8</f>
        <v>6000</v>
      </c>
    </row>
    <row r="9">
      <c r="A9" t="s" s="3">
        <v>65</v>
      </c>
      <c r="B9" t="s" s="0">
        <v>66</v>
      </c>
      <c r="C9" t="s" s="0">
        <v>67</v>
      </c>
      <c r="D9" t="s" s="0">
        <v>68</v>
      </c>
      <c r="E9" t="s" s="0">
        <v>69</v>
      </c>
      <c r="F9" s="0">
        <v>36500</v>
      </c>
      <c r="G9" t="s" s="0">
        <v>70</v>
      </c>
      <c r="H9" s="3">
        <v>1600</v>
      </c>
      <c r="I9" s="3">
        <v>9</v>
      </c>
      <c r="J9" s="3">
        <v>6</v>
      </c>
      <c r="K9" s="3">
        <v>116</v>
      </c>
      <c r="L9" s="3">
        <v>14</v>
      </c>
      <c r="M9" s="3">
        <f>100 - (I9*3) - (J9*4) - (L9*2)</f>
        <v>21</v>
      </c>
      <c r="N9" t="s" s="3">
        <v>33</v>
      </c>
      <c r="O9" s="0">
        <v>15000</v>
      </c>
      <c r="P9" s="0">
        <f>IF(M9&gt;=80, -3000, IF(M9&gt;=60, 0, 3000))</f>
        <v>3000</v>
      </c>
      <c r="Q9" s="0">
        <v>1000</v>
      </c>
      <c r="R9" s="0">
        <f>O9+P9+Q9</f>
        <v>19000</v>
      </c>
      <c r="S9" s="0">
        <v>18000</v>
      </c>
      <c r="T9" s="0">
        <f>S9-R9</f>
        <v>-1000</v>
      </c>
    </row>
    <row r="10">
      <c r="A10" t="s" s="3">
        <v>71</v>
      </c>
      <c r="B10" t="s" s="0">
        <v>72</v>
      </c>
      <c r="C10" t="s" s="0">
        <v>73</v>
      </c>
      <c r="D10" t="s" s="0">
        <v>74</v>
      </c>
      <c r="E10" t="s" s="0">
        <v>75</v>
      </c>
      <c r="F10" s="0">
        <v>15800</v>
      </c>
      <c r="G10" t="s" s="0">
        <v>76</v>
      </c>
      <c r="H10" s="3">
        <v>800</v>
      </c>
      <c r="I10" s="3">
        <v>3</v>
      </c>
      <c r="J10" s="3">
        <v>2</v>
      </c>
      <c r="K10" s="3">
        <v>85</v>
      </c>
      <c r="L10" s="3">
        <v>4</v>
      </c>
      <c r="M10" s="3">
        <f>100 - (I10*3) - (J10*4) - (L10*2)</f>
        <v>75</v>
      </c>
      <c r="N10" t="s" s="3">
        <v>52</v>
      </c>
      <c r="O10" s="0">
        <v>15000</v>
      </c>
      <c r="P10" s="0">
        <f>IF(M10&gt;=80, -3000, IF(M10&gt;=60, 0, 3000))</f>
        <v>0</v>
      </c>
      <c r="Q10" s="0">
        <v>0</v>
      </c>
      <c r="R10" s="0">
        <f>O10+P10+Q10</f>
        <v>15000</v>
      </c>
      <c r="S10" s="0">
        <v>18000</v>
      </c>
      <c r="T10" s="0">
        <f>S10-R10</f>
        <v>3000</v>
      </c>
    </row>
    <row r="11">
      <c r="A11" t="s" s="3">
        <v>77</v>
      </c>
      <c r="B11" t="s" s="0">
        <v>78</v>
      </c>
      <c r="C11" t="s" s="0">
        <v>79</v>
      </c>
      <c r="D11" t="s" s="0">
        <v>80</v>
      </c>
      <c r="E11" t="s" s="0">
        <v>81</v>
      </c>
      <c r="F11" s="0">
        <v>24300</v>
      </c>
      <c r="G11" t="s" s="0">
        <v>82</v>
      </c>
      <c r="H11" s="3">
        <v>1250</v>
      </c>
      <c r="I11" s="3">
        <v>6</v>
      </c>
      <c r="J11" s="3">
        <v>4</v>
      </c>
      <c r="K11" s="3">
        <v>96</v>
      </c>
      <c r="L11" s="3">
        <v>8</v>
      </c>
      <c r="M11" s="3">
        <f>100 - (I11*3) - (J11*4) - (L11*2)</f>
        <v>50</v>
      </c>
      <c r="N11" t="s" s="3">
        <v>33</v>
      </c>
      <c r="O11" s="0">
        <v>15000</v>
      </c>
      <c r="P11" s="0">
        <f>IF(M11&gt;=80, -3000, IF(M11&gt;=60, 0, 3000))</f>
        <v>3000</v>
      </c>
      <c r="Q11" s="0">
        <v>0</v>
      </c>
      <c r="R11" s="0">
        <f>O11+P11+Q11</f>
        <v>18000</v>
      </c>
      <c r="S11" s="0">
        <v>18000</v>
      </c>
      <c r="T11" s="0">
        <f>S11-R11</f>
        <v>0</v>
      </c>
    </row>
    <row r="12">
      <c r="A12" t="s" s="3">
        <v>83</v>
      </c>
      <c r="B12" t="s" s="0">
        <v>84</v>
      </c>
      <c r="C12" t="s" s="0">
        <v>85</v>
      </c>
      <c r="D12" t="s" s="0">
        <v>86</v>
      </c>
      <c r="E12" t="s" s="0">
        <v>87</v>
      </c>
      <c r="F12" s="0">
        <v>38100</v>
      </c>
      <c r="G12" t="s" s="0">
        <v>88</v>
      </c>
      <c r="H12" s="3">
        <v>1950</v>
      </c>
      <c r="I12" s="3">
        <v>11</v>
      </c>
      <c r="J12" s="3">
        <v>8</v>
      </c>
      <c r="K12" s="3">
        <v>134</v>
      </c>
      <c r="L12" s="3">
        <v>16</v>
      </c>
      <c r="M12" s="3">
        <f>100 - (I12*3) - (J12*4) - (L12*2)</f>
        <v>20</v>
      </c>
      <c r="N12" t="s" s="3">
        <v>33</v>
      </c>
      <c r="O12" s="0">
        <v>15000</v>
      </c>
      <c r="P12" s="0">
        <f>IF(M12&gt;=80, -3000, IF(M12&gt;=60, 0, 3000))</f>
        <v>3000</v>
      </c>
      <c r="Q12" s="0">
        <v>1000</v>
      </c>
      <c r="R12" s="0">
        <f>O12+P12+Q12</f>
        <v>19000</v>
      </c>
      <c r="S12" s="0">
        <v>18000</v>
      </c>
      <c r="T12" s="0">
        <f>S12-R12</f>
        <v>-1000</v>
      </c>
    </row>
    <row r="13">
      <c r="A13" t="s" s="3">
        <v>89</v>
      </c>
      <c r="B13" t="s" s="0">
        <v>90</v>
      </c>
      <c r="C13" t="s" s="0">
        <v>91</v>
      </c>
      <c r="D13" t="s" s="0">
        <v>92</v>
      </c>
      <c r="E13" t="s" s="0">
        <v>93</v>
      </c>
      <c r="F13" s="0">
        <v>7400</v>
      </c>
      <c r="G13" t="s" s="0">
        <v>94</v>
      </c>
      <c r="H13" s="3">
        <v>600</v>
      </c>
      <c r="I13" s="3">
        <v>1</v>
      </c>
      <c r="J13" s="3">
        <v>1</v>
      </c>
      <c r="K13" s="3">
        <v>76</v>
      </c>
      <c r="L13" s="3">
        <v>2</v>
      </c>
      <c r="M13" s="3">
        <f>100 - (I13*3) - (J13*4) - (L13*2)</f>
        <v>89</v>
      </c>
      <c r="N13" t="s" s="3">
        <v>26</v>
      </c>
      <c r="O13" s="0">
        <v>15000</v>
      </c>
      <c r="P13" s="0">
        <f>IF(M13&gt;=80, -3000, IF(M13&gt;=60, 0, 3000))</f>
        <v>-3000</v>
      </c>
      <c r="Q13" s="0">
        <v>0</v>
      </c>
      <c r="R13" s="0">
        <f>O13+P13+Q13</f>
        <v>12000</v>
      </c>
      <c r="S13" s="0">
        <v>18000</v>
      </c>
      <c r="T13" s="0">
        <f>S13-R13</f>
        <v>6000</v>
      </c>
    </row>
    <row r="14">
      <c r="A14" t="s" s="3">
        <v>95</v>
      </c>
      <c r="B14" t="s" s="0">
        <v>96</v>
      </c>
      <c r="C14" t="s" s="0">
        <v>97</v>
      </c>
      <c r="D14" t="s" s="0">
        <v>98</v>
      </c>
      <c r="E14" t="s" s="0">
        <v>99</v>
      </c>
      <c r="F14" s="0">
        <v>26800</v>
      </c>
      <c r="G14" t="s" s="0">
        <v>100</v>
      </c>
      <c r="H14" s="3">
        <v>1050</v>
      </c>
      <c r="I14" s="3">
        <v>5</v>
      </c>
      <c r="J14" s="3">
        <v>3</v>
      </c>
      <c r="K14" s="3">
        <v>95</v>
      </c>
      <c r="L14" s="3">
        <v>7</v>
      </c>
      <c r="M14" s="3">
        <f>100 - (I14*3) - (J14*4) - (L14*2)</f>
        <v>59</v>
      </c>
      <c r="N14" t="s" s="3">
        <v>33</v>
      </c>
      <c r="O14" s="0">
        <v>15000</v>
      </c>
      <c r="P14" s="0">
        <f>IF(M14&gt;=80, -3000, IF(M14&gt;=60, 0, 3000))</f>
        <v>3000</v>
      </c>
      <c r="Q14" s="0">
        <v>0</v>
      </c>
      <c r="R14" s="0">
        <f>O14+P14+Q14</f>
        <v>18000</v>
      </c>
      <c r="S14" s="0">
        <v>18000</v>
      </c>
      <c r="T14" s="0">
        <f>S14-R14</f>
        <v>0</v>
      </c>
    </row>
    <row r="15">
      <c r="A15" t="s" s="3">
        <v>101</v>
      </c>
      <c r="B15" t="s" s="0">
        <v>102</v>
      </c>
      <c r="C15" t="s" s="0">
        <v>103</v>
      </c>
      <c r="D15" t="s" s="0">
        <v>104</v>
      </c>
      <c r="E15" t="s" s="0">
        <v>105</v>
      </c>
      <c r="F15" s="0">
        <v>33400</v>
      </c>
      <c r="G15" t="s" s="0">
        <v>106</v>
      </c>
      <c r="H15" s="3">
        <v>1700</v>
      </c>
      <c r="I15" s="3">
        <v>9</v>
      </c>
      <c r="J15" s="3">
        <v>7</v>
      </c>
      <c r="K15" s="3">
        <v>130</v>
      </c>
      <c r="L15" s="3">
        <v>13</v>
      </c>
      <c r="M15" s="3">
        <f>100 - (I15*3) - (J15*4) - (L15*2)</f>
        <v>20</v>
      </c>
      <c r="N15" t="s" s="3">
        <v>33</v>
      </c>
      <c r="O15" s="0">
        <v>15000</v>
      </c>
      <c r="P15" s="0">
        <f>IF(M15&gt;=80, -3000, IF(M15&gt;=60, 0, 3000))</f>
        <v>3000</v>
      </c>
      <c r="Q15" s="0">
        <v>1000</v>
      </c>
      <c r="R15" s="0">
        <f>O15+P15+Q15</f>
        <v>19000</v>
      </c>
      <c r="S15" s="0">
        <v>18000</v>
      </c>
      <c r="T15" s="0">
        <f>S15-R15</f>
        <v>-1000</v>
      </c>
    </row>
    <row r="16">
      <c r="A16" t="s" s="3">
        <v>107</v>
      </c>
      <c r="B16" t="s" s="0">
        <v>108</v>
      </c>
      <c r="C16" t="s" s="0">
        <v>109</v>
      </c>
      <c r="D16" t="s" s="0">
        <v>110</v>
      </c>
      <c r="E16" t="s" s="0">
        <v>111</v>
      </c>
      <c r="F16" s="0">
        <v>9200</v>
      </c>
      <c r="G16" t="s" s="0">
        <v>112</v>
      </c>
      <c r="H16" s="3">
        <v>850</v>
      </c>
      <c r="I16" s="3">
        <v>3</v>
      </c>
      <c r="J16" s="3">
        <v>1</v>
      </c>
      <c r="K16" s="3">
        <v>82</v>
      </c>
      <c r="L16" s="3">
        <v>4</v>
      </c>
      <c r="M16" s="3">
        <f>100 - (I16*3) - (J16*4) - (L16*2)</f>
        <v>79</v>
      </c>
      <c r="N16" t="s" s="3">
        <v>52</v>
      </c>
      <c r="O16" s="0">
        <v>15000</v>
      </c>
      <c r="P16" s="0">
        <f>IF(M16&gt;=80, -3000, IF(M16&gt;=60, 0, 3000))</f>
        <v>0</v>
      </c>
      <c r="Q16" s="0">
        <v>0</v>
      </c>
      <c r="R16" s="0">
        <f>O16+P16+Q16</f>
        <v>15000</v>
      </c>
      <c r="S16" s="0">
        <v>18000</v>
      </c>
      <c r="T16" s="0">
        <f>S16-R16</f>
        <v>3000</v>
      </c>
    </row>
    <row r="18" ht="24">
      <c r="A18" t="s" s="2">
        <v>113</v>
      </c>
      <c r="B18" s="2"/>
      <c r="C18" s="2"/>
      <c r="D18" s="2"/>
      <c r="E18" s="2"/>
      <c r="F18" s="2"/>
      <c r="G18" s="2"/>
      <c r="H18" s="2">
        <f>ROUND(AVERAGE(H2:H16), 1)</f>
        <v>1160.0</v>
      </c>
      <c r="I18" s="2">
        <f>ROUND(AVERAGE(I2:I16), 1)</f>
        <v>5.3</v>
      </c>
      <c r="J18" s="2">
        <f>ROUND(AVERAGE(J2:J16), 1)</f>
        <v>3.4</v>
      </c>
      <c r="K18" s="2">
        <f>ROUND(AVERAGE(K2:K16), 1)</f>
        <v>96.5</v>
      </c>
      <c r="L18" s="2">
        <f>ROUND(AVERAGE(L2:L16), 1)</f>
        <v>7.7</v>
      </c>
      <c r="M18" s="2">
        <f>ROUND(AVERAGE(M2:M16), 1)</f>
        <v>57.3</v>
      </c>
      <c r="N18" s="2"/>
      <c r="O18" s="2">
        <v>15000</v>
      </c>
      <c r="P18" s="2"/>
      <c r="Q18" s="2"/>
      <c r="R18" s="2">
        <f>ROUND(AVERAGE(R2:R16), 0)</f>
        <v>15933</v>
      </c>
      <c r="S18" s="2">
        <v>18000</v>
      </c>
      <c r="T18" s="2">
        <f>SUM(T2:T16)</f>
        <v>31000</v>
      </c>
    </row>
  </sheetData>
</worksheet>
</file>

<file path=xl/worksheets/sheet2.xml><?xml version="1.0" encoding="utf-8"?>
<worksheet xmlns="http://schemas.openxmlformats.org/spreadsheetml/2006/main">
  <sheetFormatPr defaultRowHeight="20"/>
  <cols>
    <col min="1" max="1" width="12" customWidth="1"/>
    <col min="2" max="2" width="24" customWidth="1"/>
    <col min="3" max="3" width="18" customWidth="1"/>
    <col min="4" max="7" width="18" customWidth="1"/>
    <col min="8" max="8" width="34" customWidth="1"/>
    <col min="9" max="9" width="16" customWidth="1"/>
    <col min="10" max="10" width="55" customWidth="1"/>
  </cols>
  <sheetData>
    <row r="1" ht="26">
      <c r="A1" t="s" s="5">
        <v>0</v>
      </c>
      <c r="B1" t="s" s="5">
        <v>4</v>
      </c>
      <c r="C1" t="s" s="5">
        <v>114</v>
      </c>
      <c r="D1" t="s" s="5">
        <v>115</v>
      </c>
      <c r="E1" t="s" s="5">
        <v>116</v>
      </c>
      <c r="F1" t="s" s="5">
        <v>117</v>
      </c>
      <c r="G1" t="s" s="5">
        <v>118</v>
      </c>
      <c r="H1" t="s" s="5">
        <v>119</v>
      </c>
      <c r="I1" t="s" s="5">
        <v>120</v>
      </c>
      <c r="J1" t="s" s="5">
        <v>121</v>
      </c>
    </row>
    <row r="2">
      <c r="A2" t="s" s="3">
        <v>20</v>
      </c>
      <c r="B2" t="s" s="0">
        <v>24</v>
      </c>
      <c r="C2" t="s" s="0">
        <v>23</v>
      </c>
      <c r="D2" s="3">
        <v>88</v>
      </c>
      <c r="E2" s="3">
        <v>12.6</v>
      </c>
      <c r="F2" s="3">
        <v>9.2</v>
      </c>
      <c r="G2" t="s" s="3">
        <v>122</v>
      </c>
      <c r="H2" t="s" s="0">
        <v>123</v>
      </c>
      <c r="I2" t="s" s="3">
        <v>124</v>
      </c>
      <c r="J2" t="s" s="0">
        <v>125</v>
      </c>
    </row>
    <row r="3">
      <c r="A3" t="s" s="3">
        <v>27</v>
      </c>
      <c r="B3" t="s" s="0">
        <v>31</v>
      </c>
      <c r="C3" t="s" s="0">
        <v>30</v>
      </c>
      <c r="D3" s="3">
        <v>102</v>
      </c>
      <c r="E3" s="3">
        <v>11.9</v>
      </c>
      <c r="F3" s="3">
        <v>2.8</v>
      </c>
      <c r="G3" t="s" s="3">
        <v>126</v>
      </c>
      <c r="H3" t="s" s="0">
        <v>127</v>
      </c>
      <c r="I3" t="s" s="3">
        <v>128</v>
      </c>
      <c r="J3" t="s" s="0">
        <v>129</v>
      </c>
    </row>
    <row r="4">
      <c r="A4" t="s" s="3">
        <v>34</v>
      </c>
      <c r="B4" t="s" s="0">
        <v>38</v>
      </c>
      <c r="C4" t="s" s="0">
        <v>37</v>
      </c>
      <c r="D4" s="3">
        <v>84</v>
      </c>
      <c r="E4" s="3">
        <v>13.0</v>
      </c>
      <c r="F4" s="3">
        <v>10.5</v>
      </c>
      <c r="G4" t="s" s="3">
        <v>130</v>
      </c>
      <c r="H4" t="s" s="0">
        <v>123</v>
      </c>
      <c r="I4" t="s" s="3">
        <v>124</v>
      </c>
      <c r="J4" t="s" s="0">
        <v>131</v>
      </c>
    </row>
    <row r="5">
      <c r="A5" t="s" s="3">
        <v>40</v>
      </c>
      <c r="B5" t="s" s="0">
        <v>44</v>
      </c>
      <c r="C5" t="s" s="0">
        <v>43</v>
      </c>
      <c r="D5" s="3">
        <v>105</v>
      </c>
      <c r="E5" s="3">
        <v>11.8</v>
      </c>
      <c r="F5" s="3">
        <v>2.2</v>
      </c>
      <c r="G5" t="s" s="3">
        <v>132</v>
      </c>
      <c r="H5" t="s" s="0">
        <v>133</v>
      </c>
      <c r="I5" t="s" s="3">
        <v>128</v>
      </c>
      <c r="J5" t="s" s="0">
        <v>134</v>
      </c>
    </row>
    <row r="6">
      <c r="A6" t="s" s="3">
        <v>46</v>
      </c>
      <c r="B6" t="s" s="0">
        <v>50</v>
      </c>
      <c r="C6" t="s" s="0">
        <v>49</v>
      </c>
      <c r="D6" s="3">
        <v>89</v>
      </c>
      <c r="E6" s="3">
        <v>12.5</v>
      </c>
      <c r="F6" s="3">
        <v>6.8</v>
      </c>
      <c r="G6" t="s" s="3">
        <v>135</v>
      </c>
      <c r="H6" t="s" s="0">
        <v>123</v>
      </c>
      <c r="I6" t="s" s="3">
        <v>124</v>
      </c>
      <c r="J6" t="s" s="0">
        <v>136</v>
      </c>
    </row>
    <row r="7">
      <c r="A7" t="s" s="3">
        <v>53</v>
      </c>
      <c r="B7" t="s" s="0">
        <v>57</v>
      </c>
      <c r="C7" t="s" s="0">
        <v>56</v>
      </c>
      <c r="D7" s="3">
        <v>92</v>
      </c>
      <c r="E7" s="3">
        <v>12.4</v>
      </c>
      <c r="F7" s="3">
        <v>5.4</v>
      </c>
      <c r="G7" t="s" s="3">
        <v>137</v>
      </c>
      <c r="H7" t="s" s="0">
        <v>138</v>
      </c>
      <c r="I7" t="s" s="3">
        <v>139</v>
      </c>
      <c r="J7" t="s" s="0">
        <v>140</v>
      </c>
    </row>
    <row r="8">
      <c r="A8" t="s" s="3">
        <v>59</v>
      </c>
      <c r="B8" t="s" s="0">
        <v>63</v>
      </c>
      <c r="C8" t="s" s="0">
        <v>62</v>
      </c>
      <c r="D8" s="3">
        <v>87</v>
      </c>
      <c r="E8" s="3">
        <v>12.7</v>
      </c>
      <c r="F8" s="3">
        <v>8.8</v>
      </c>
      <c r="G8" t="s" s="3">
        <v>141</v>
      </c>
      <c r="H8" t="s" s="0">
        <v>123</v>
      </c>
      <c r="I8" t="s" s="3">
        <v>124</v>
      </c>
      <c r="J8" t="s" s="0">
        <v>142</v>
      </c>
    </row>
    <row r="9">
      <c r="A9" t="s" s="3">
        <v>65</v>
      </c>
      <c r="B9" t="s" s="0">
        <v>69</v>
      </c>
      <c r="C9" t="s" s="0">
        <v>68</v>
      </c>
      <c r="D9" s="3">
        <v>100</v>
      </c>
      <c r="E9" s="3">
        <v>12.0</v>
      </c>
      <c r="F9" s="3">
        <v>3.0</v>
      </c>
      <c r="G9" t="s" s="3">
        <v>143</v>
      </c>
      <c r="H9" t="s" s="0">
        <v>144</v>
      </c>
      <c r="I9" t="s" s="3">
        <v>128</v>
      </c>
      <c r="J9" t="s" s="0">
        <v>145</v>
      </c>
    </row>
    <row r="10">
      <c r="A10" t="s" s="3">
        <v>71</v>
      </c>
      <c r="B10" t="s" s="0">
        <v>75</v>
      </c>
      <c r="C10" t="s" s="0">
        <v>74</v>
      </c>
      <c r="D10" s="3">
        <v>88</v>
      </c>
      <c r="E10" s="3">
        <v>12.6</v>
      </c>
      <c r="F10" s="3">
        <v>7.5</v>
      </c>
      <c r="G10" t="s" s="3">
        <v>146</v>
      </c>
      <c r="H10" t="s" s="0">
        <v>123</v>
      </c>
      <c r="I10" t="s" s="3">
        <v>124</v>
      </c>
      <c r="J10" t="s" s="0">
        <v>147</v>
      </c>
    </row>
    <row r="11">
      <c r="A11" t="s" s="3">
        <v>77</v>
      </c>
      <c r="B11" t="s" s="0">
        <v>81</v>
      </c>
      <c r="C11" t="s" s="0">
        <v>80</v>
      </c>
      <c r="D11" s="3">
        <v>94</v>
      </c>
      <c r="E11" s="3">
        <v>12.3</v>
      </c>
      <c r="F11" s="3">
        <v>4.8</v>
      </c>
      <c r="G11" t="s" s="3">
        <v>148</v>
      </c>
      <c r="H11" t="s" s="0">
        <v>149</v>
      </c>
      <c r="I11" t="s" s="3">
        <v>139</v>
      </c>
      <c r="J11" t="s" s="0">
        <v>150</v>
      </c>
    </row>
    <row r="12">
      <c r="A12" t="s" s="3">
        <v>83</v>
      </c>
      <c r="B12" t="s" s="0">
        <v>87</v>
      </c>
      <c r="C12" t="s" s="0">
        <v>86</v>
      </c>
      <c r="D12" s="3">
        <v>106</v>
      </c>
      <c r="E12" s="3">
        <v>11.7</v>
      </c>
      <c r="F12" s="3">
        <v>2.0</v>
      </c>
      <c r="G12" t="s" s="3">
        <v>151</v>
      </c>
      <c r="H12" t="s" s="0">
        <v>152</v>
      </c>
      <c r="I12" t="s" s="3">
        <v>128</v>
      </c>
      <c r="J12" t="s" s="0">
        <v>153</v>
      </c>
    </row>
    <row r="13">
      <c r="A13" t="s" s="3">
        <v>89</v>
      </c>
      <c r="B13" t="s" s="0">
        <v>93</v>
      </c>
      <c r="C13" t="s" s="0">
        <v>92</v>
      </c>
      <c r="D13" s="3">
        <v>86</v>
      </c>
      <c r="E13" s="3">
        <v>12.8</v>
      </c>
      <c r="F13" s="3">
        <v>9.5</v>
      </c>
      <c r="G13" t="s" s="3">
        <v>154</v>
      </c>
      <c r="H13" t="s" s="0">
        <v>123</v>
      </c>
      <c r="I13" t="s" s="3">
        <v>124</v>
      </c>
      <c r="J13" t="s" s="0">
        <v>155</v>
      </c>
    </row>
    <row r="14">
      <c r="A14" t="s" s="3">
        <v>95</v>
      </c>
      <c r="B14" t="s" s="0">
        <v>99</v>
      </c>
      <c r="C14" t="s" s="0">
        <v>98</v>
      </c>
      <c r="D14" s="3">
        <v>91</v>
      </c>
      <c r="E14" s="3">
        <v>12.4</v>
      </c>
      <c r="F14" s="3">
        <v>5.8</v>
      </c>
      <c r="G14" t="s" s="3">
        <v>156</v>
      </c>
      <c r="H14" t="s" s="0">
        <v>123</v>
      </c>
      <c r="I14" t="s" s="3">
        <v>124</v>
      </c>
      <c r="J14" t="s" s="0">
        <v>157</v>
      </c>
    </row>
    <row r="15">
      <c r="A15" t="s" s="3">
        <v>101</v>
      </c>
      <c r="B15" t="s" s="0">
        <v>105</v>
      </c>
      <c r="C15" t="s" s="0">
        <v>104</v>
      </c>
      <c r="D15" s="3">
        <v>103</v>
      </c>
      <c r="E15" s="3">
        <v>12.0</v>
      </c>
      <c r="F15" s="3">
        <v>2.9</v>
      </c>
      <c r="G15" t="s" s="3">
        <v>158</v>
      </c>
      <c r="H15" t="s" s="0">
        <v>159</v>
      </c>
      <c r="I15" t="s" s="3">
        <v>128</v>
      </c>
      <c r="J15" t="s" s="0">
        <v>160</v>
      </c>
    </row>
    <row r="16">
      <c r="A16" t="s" s="3">
        <v>107</v>
      </c>
      <c r="B16" t="s" s="0">
        <v>111</v>
      </c>
      <c r="C16" t="s" s="0">
        <v>110</v>
      </c>
      <c r="D16" s="3">
        <v>88</v>
      </c>
      <c r="E16" s="3">
        <v>12.7</v>
      </c>
      <c r="F16" s="3">
        <v>8.5</v>
      </c>
      <c r="G16" t="s" s="3">
        <v>161</v>
      </c>
      <c r="H16" t="s" s="0">
        <v>123</v>
      </c>
      <c r="I16" t="s" s="3">
        <v>124</v>
      </c>
      <c r="J16" t="s" s="0">
        <v>162</v>
      </c>
    </row>
  </sheetData>
</worksheet>
</file>

<file path=xl/worksheets/sheet3.xml><?xml version="1.0" encoding="utf-8"?>
<worksheet xmlns="http://schemas.openxmlformats.org/spreadsheetml/2006/main">
  <sheetFormatPr defaultRowHeight="22"/>
  <cols>
    <col min="1" max="1" width="28" customWidth="1"/>
    <col min="2" max="2" width="48" customWidth="1"/>
    <col min="3" max="3" width="30" customWidth="1"/>
  </cols>
  <sheetData>
    <row r="1" ht="24">
      <c r="A1" t="s" s="1">
        <v>163</v>
      </c>
      <c r="B1" t="s" s="1">
        <v>164</v>
      </c>
      <c r="C1" t="s" s="1">
        <v>165</v>
      </c>
    </row>
    <row r="2">
      <c r="A2" t="s" s="0">
        <v>166</v>
      </c>
      <c r="B2" t="s" s="0">
        <v>167</v>
      </c>
      <c r="C2" t="s" s="0">
        <v>168</v>
      </c>
    </row>
    <row r="3">
      <c r="A3" t="s" s="0">
        <v>169</v>
      </c>
      <c r="B3" t="s" s="0">
        <v>170</v>
      </c>
      <c r="C3" t="s" s="0">
        <v>171</v>
      </c>
    </row>
    <row r="4">
      <c r="A4" t="s" s="0">
        <v>172</v>
      </c>
      <c r="B4" t="s" s="0">
        <v>173</v>
      </c>
      <c r="C4" t="s" s="0">
        <v>174</v>
      </c>
    </row>
    <row r="5">
      <c r="A5" t="s" s="0">
        <v>175</v>
      </c>
      <c r="B5" t="s" s="0">
        <v>176</v>
      </c>
      <c r="C5" t="s" s="0">
        <v>177</v>
      </c>
    </row>
    <row r="6">
      <c r="A6" t="s" s="0">
        <v>178</v>
      </c>
      <c r="B6" t="s" s="0">
        <v>179</v>
      </c>
      <c r="C6" t="s" s="0">
        <v>180</v>
      </c>
    </row>
    <row r="7">
      <c r="A7" t="s" s="0">
        <v>181</v>
      </c>
      <c r="B7" t="s" s="0">
        <v>182</v>
      </c>
      <c r="C7" t="s" s="0">
        <v>183</v>
      </c>
    </row>
  </sheetData>
</worksheet>
</file>